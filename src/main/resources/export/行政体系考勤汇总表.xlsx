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820" windowHeight="14620"/>
  </bookViews>
  <sheets>
    <sheet name="6月" sheetId="3" r:id="rId1"/>
    <sheet name="6月异常打卡情况说明" sheetId="4" r:id="rId2"/>
  </sheets>
  <definedNames>
    <definedName name="_xlnm._FilterDatabase" localSheetId="0" hidden="1">'6月'!$A$4:$S$34</definedName>
    <definedName name="_xlnm.Print_Area" localSheetId="0">'6月'!$A$1:$V$36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G3" authorId="0">
      <text>
        <r>
          <rPr>
            <b/>
            <sz val="9"/>
            <rFont val="宋体"/>
            <charset val="134"/>
          </rPr>
          <t>Administrator:</t>
        </r>
        <r>
          <rPr>
            <sz val="9"/>
            <rFont val="宋体"/>
            <charset val="134"/>
          </rPr>
          <t xml:space="preserve">
端午节公休1天。
行政、财务、采购、物流月休6天。仓储、后勤月休4天。</t>
        </r>
      </text>
    </comment>
    <comment ref="K5" authorId="0">
      <text>
        <r>
          <rPr>
            <b/>
            <sz val="9"/>
            <rFont val="宋体"/>
            <charset val="134"/>
          </rPr>
          <t>Administrator:</t>
        </r>
        <r>
          <rPr>
            <sz val="9"/>
            <rFont val="宋体"/>
            <charset val="134"/>
          </rPr>
          <t xml:space="preserve">
6月15日-18日休年假4天，</t>
        </r>
        <r>
          <rPr>
            <b/>
            <sz val="9"/>
            <rFont val="宋体"/>
            <charset val="134"/>
          </rPr>
          <t>共32小时。</t>
        </r>
      </text>
    </comment>
    <comment ref="S5" authorId="0">
      <text>
        <r>
          <rPr>
            <b/>
            <sz val="9"/>
            <rFont val="宋体"/>
            <charset val="134"/>
          </rPr>
          <t>Administrator:</t>
        </r>
        <r>
          <rPr>
            <sz val="9"/>
            <rFont val="宋体"/>
            <charset val="134"/>
          </rPr>
          <t xml:space="preserve">
6月6日8:00-12:00加班4小时，接待大学生参观；
6月7日8:00-12:00加班4小时，接待大学生参观；
</t>
        </r>
      </text>
    </comment>
    <comment ref="L6" authorId="0">
      <text>
        <r>
          <rPr>
            <b/>
            <sz val="9"/>
            <rFont val="宋体"/>
            <charset val="134"/>
          </rPr>
          <t>Administrator:</t>
        </r>
        <r>
          <rPr>
            <sz val="9"/>
            <rFont val="宋体"/>
            <charset val="134"/>
          </rPr>
          <t xml:space="preserve">
6月30日外出1天，去荆门市参加经发局组织的培训。
</t>
        </r>
      </text>
    </comment>
    <comment ref="R6" authorId="0">
      <text>
        <r>
          <rPr>
            <b/>
            <sz val="9"/>
            <rFont val="宋体"/>
            <charset val="134"/>
          </rPr>
          <t>Administrator:</t>
        </r>
        <r>
          <rPr>
            <sz val="9"/>
            <rFont val="宋体"/>
            <charset val="134"/>
          </rPr>
          <t xml:space="preserve">
6月9日缺卡2次，去接姚董回公司；
6月10日缺卡1次，送姚董去车站；
6月12日缺卡3次，去荆门办事；
6月17日缺卡2次，去荆门审车；
6月29日缺卡2次，管理区开会；
6月24缺卡2次，去荆门开会；
</t>
        </r>
      </text>
    </comment>
    <comment ref="R7" authorId="0">
      <text>
        <r>
          <rPr>
            <b/>
            <sz val="9"/>
            <rFont val="宋体"/>
            <charset val="134"/>
          </rPr>
          <t>Administrator:</t>
        </r>
        <r>
          <rPr>
            <sz val="9"/>
            <rFont val="宋体"/>
            <charset val="134"/>
          </rPr>
          <t xml:space="preserve">
6月22日因在车间摔了去中医院做检查。</t>
        </r>
      </text>
    </comment>
    <comment ref="J8" authorId="0">
      <text>
        <r>
          <rPr>
            <b/>
            <sz val="9"/>
            <rFont val="宋体"/>
            <charset val="134"/>
          </rPr>
          <t>Administrator:</t>
        </r>
        <r>
          <rPr>
            <sz val="9"/>
            <rFont val="宋体"/>
            <charset val="134"/>
          </rPr>
          <t xml:space="preserve">
6月26日17:30-18:00调休0.5小时；
</t>
        </r>
      </text>
    </comment>
    <comment ref="K8" authorId="0">
      <text>
        <r>
          <rPr>
            <b/>
            <sz val="9"/>
            <rFont val="宋体"/>
            <charset val="134"/>
          </rPr>
          <t>Administrator:</t>
        </r>
        <r>
          <rPr>
            <sz val="9"/>
            <rFont val="宋体"/>
            <charset val="134"/>
          </rPr>
          <t xml:space="preserve">
6月13日休年假1天，8小时。
</t>
        </r>
      </text>
    </comment>
    <comment ref="L8" authorId="0">
      <text>
        <r>
          <rPr>
            <b/>
            <sz val="9"/>
            <rFont val="宋体"/>
            <charset val="134"/>
          </rPr>
          <t>Administrator:</t>
        </r>
        <r>
          <rPr>
            <sz val="9"/>
            <rFont val="宋体"/>
            <charset val="134"/>
          </rPr>
          <t xml:space="preserve">
6月4-5日去屈家岭实验小学参加入党积极分子培训班。
</t>
        </r>
      </text>
    </comment>
    <comment ref="R8" authorId="0">
      <text>
        <r>
          <rPr>
            <b/>
            <sz val="9"/>
            <rFont val="宋体"/>
            <charset val="134"/>
          </rPr>
          <t>Administrator:</t>
        </r>
        <r>
          <rPr>
            <sz val="9"/>
            <rFont val="宋体"/>
            <charset val="134"/>
          </rPr>
          <t xml:space="preserve">
6月22缺卡1次，忘记打卡。</t>
        </r>
      </text>
    </comment>
    <comment ref="S8" authorId="0">
      <text>
        <r>
          <rPr>
            <b/>
            <sz val="9"/>
            <rFont val="宋体"/>
            <charset val="134"/>
          </rPr>
          <t>Administrator:</t>
        </r>
        <r>
          <rPr>
            <sz val="9"/>
            <rFont val="宋体"/>
            <charset val="134"/>
          </rPr>
          <t xml:space="preserve">
6月3日18:00-20:00加班2小时，人资系统培训；
6月15日18:00-19:30加班1.5小时，发端午节福利；
6月17日18:00-19:00加班1小时，发端午节福利；</t>
        </r>
        <r>
          <rPr>
            <b/>
            <sz val="9"/>
            <rFont val="宋体"/>
            <charset val="134"/>
          </rPr>
          <t>共计4.5小时。</t>
        </r>
      </text>
    </comment>
    <comment ref="J9" authorId="0">
      <text>
        <r>
          <rPr>
            <b/>
            <sz val="9"/>
            <rFont val="宋体"/>
            <charset val="134"/>
          </rPr>
          <t>Administrator:</t>
        </r>
        <r>
          <rPr>
            <sz val="9"/>
            <rFont val="宋体"/>
            <charset val="134"/>
          </rPr>
          <t xml:space="preserve">
6月8日8:00-8:30调休0.5小时；</t>
        </r>
      </text>
    </comment>
    <comment ref="L9" authorId="0">
      <text>
        <r>
          <rPr>
            <b/>
            <sz val="9"/>
            <rFont val="宋体"/>
            <charset val="134"/>
          </rPr>
          <t>Administrator:</t>
        </r>
        <r>
          <rPr>
            <sz val="9"/>
            <rFont val="宋体"/>
            <charset val="134"/>
          </rPr>
          <t xml:space="preserve">
6月4-5日去屈家岭实验小学参加入党积极分子培训班。</t>
        </r>
      </text>
    </comment>
    <comment ref="S9" authorId="0">
      <text>
        <r>
          <rPr>
            <b/>
            <sz val="9"/>
            <rFont val="宋体"/>
            <charset val="134"/>
          </rPr>
          <t>Administrator:</t>
        </r>
        <r>
          <rPr>
            <sz val="9"/>
            <rFont val="宋体"/>
            <charset val="134"/>
          </rPr>
          <t xml:space="preserve">
6月4日12：00-13:00加班1小时，接待；
6月15日18:00-19:00加班1小时，核对行政费用报表。</t>
        </r>
      </text>
    </comment>
    <comment ref="J10" authorId="0">
      <text>
        <r>
          <rPr>
            <b/>
            <sz val="9"/>
            <rFont val="宋体"/>
            <charset val="134"/>
          </rPr>
          <t>Administrator:</t>
        </r>
        <r>
          <rPr>
            <sz val="9"/>
            <rFont val="宋体"/>
            <charset val="134"/>
          </rPr>
          <t xml:space="preserve">
6月12日8:00-12:00调休4小时；
6月24日16:30-18:00调休1.5小时；
</t>
        </r>
        <r>
          <rPr>
            <b/>
            <sz val="9"/>
            <rFont val="宋体"/>
            <charset val="134"/>
          </rPr>
          <t>共计调休5.5小时。</t>
        </r>
      </text>
    </comment>
    <comment ref="N10" authorId="0">
      <text>
        <r>
          <rPr>
            <b/>
            <sz val="9"/>
            <rFont val="宋体"/>
            <charset val="134"/>
          </rPr>
          <t>Administrator:</t>
        </r>
        <r>
          <rPr>
            <sz val="9"/>
            <rFont val="宋体"/>
            <charset val="134"/>
          </rPr>
          <t xml:space="preserve">
6月4日早上外出采购接待物资。有外出审批流程。
6月5日早上去中医院办健康证。</t>
        </r>
      </text>
    </comment>
    <comment ref="S10" authorId="0">
      <text>
        <r>
          <rPr>
            <b/>
            <sz val="9"/>
            <rFont val="宋体"/>
            <charset val="134"/>
          </rPr>
          <t>Administrator:</t>
        </r>
        <r>
          <rPr>
            <sz val="9"/>
            <rFont val="宋体"/>
            <charset val="134"/>
          </rPr>
          <t xml:space="preserve">
6月15日、17日18:00-19:00各加班1小时，</t>
        </r>
        <r>
          <rPr>
            <b/>
            <sz val="9"/>
            <rFont val="宋体"/>
            <charset val="134"/>
          </rPr>
          <t>共计2小时</t>
        </r>
        <r>
          <rPr>
            <sz val="9"/>
            <rFont val="宋体"/>
            <charset val="134"/>
          </rPr>
          <t>，发放端午节福利。</t>
        </r>
      </text>
    </comment>
    <comment ref="V10" authorId="0">
      <text>
        <r>
          <rPr>
            <b/>
            <sz val="9"/>
            <rFont val="宋体"/>
            <charset val="134"/>
          </rPr>
          <t>Administrator:</t>
        </r>
        <r>
          <rPr>
            <sz val="9"/>
            <rFont val="宋体"/>
            <charset val="134"/>
          </rPr>
          <t xml:space="preserve">
2025年6月12日入职，入职满1年开始享受年假。
</t>
        </r>
      </text>
    </comment>
    <comment ref="J11" authorId="0">
      <text>
        <r>
          <rPr>
            <b/>
            <sz val="9"/>
            <rFont val="宋体"/>
            <charset val="134"/>
          </rPr>
          <t>Administrator:</t>
        </r>
        <r>
          <rPr>
            <sz val="9"/>
            <rFont val="宋体"/>
            <charset val="134"/>
          </rPr>
          <t xml:space="preserve">
6月17日下午调休半天，4小时。</t>
        </r>
      </text>
    </comment>
    <comment ref="R11" authorId="0">
      <text>
        <r>
          <rPr>
            <b/>
            <sz val="9"/>
            <rFont val="宋体"/>
            <charset val="134"/>
          </rPr>
          <t>Administrator:</t>
        </r>
        <r>
          <rPr>
            <sz val="9"/>
            <rFont val="宋体"/>
            <charset val="134"/>
          </rPr>
          <t xml:space="preserve">
6月29日缺卡1次，忘记打卡。</t>
        </r>
      </text>
    </comment>
    <comment ref="J12" authorId="0">
      <text>
        <r>
          <rPr>
            <b/>
            <sz val="9"/>
            <rFont val="宋体"/>
            <charset val="134"/>
          </rPr>
          <t>Administrator:</t>
        </r>
        <r>
          <rPr>
            <sz val="9"/>
            <rFont val="宋体"/>
            <charset val="134"/>
          </rPr>
          <t xml:space="preserve">
6月5日、22日、25日各调休1天，</t>
        </r>
        <r>
          <rPr>
            <b/>
            <sz val="9"/>
            <rFont val="宋体"/>
            <charset val="134"/>
          </rPr>
          <t>共24小时；</t>
        </r>
      </text>
    </comment>
    <comment ref="K12" authorId="0">
      <text>
        <r>
          <rPr>
            <b/>
            <sz val="9"/>
            <rFont val="宋体"/>
            <charset val="134"/>
          </rPr>
          <t>Administrator:</t>
        </r>
        <r>
          <rPr>
            <sz val="9"/>
            <rFont val="宋体"/>
            <charset val="134"/>
          </rPr>
          <t xml:space="preserve">
6月13日休年假1天，8小时。</t>
        </r>
      </text>
    </comment>
    <comment ref="K13" authorId="0">
      <text>
        <r>
          <rPr>
            <b/>
            <sz val="9"/>
            <rFont val="宋体"/>
            <charset val="134"/>
          </rPr>
          <t>Administrator:</t>
        </r>
        <r>
          <rPr>
            <sz val="9"/>
            <rFont val="宋体"/>
            <charset val="134"/>
          </rPr>
          <t xml:space="preserve">
6月26日、28日各休年假1天，</t>
        </r>
        <r>
          <rPr>
            <b/>
            <sz val="9"/>
            <rFont val="宋体"/>
            <charset val="134"/>
          </rPr>
          <t>共16小时</t>
        </r>
        <r>
          <rPr>
            <sz val="9"/>
            <rFont val="宋体"/>
            <charset val="134"/>
          </rPr>
          <t>。</t>
        </r>
      </text>
    </comment>
    <comment ref="K14" authorId="0">
      <text>
        <r>
          <rPr>
            <b/>
            <sz val="9"/>
            <rFont val="宋体"/>
            <charset val="134"/>
          </rPr>
          <t>Administrator:</t>
        </r>
        <r>
          <rPr>
            <sz val="9"/>
            <rFont val="宋体"/>
            <charset val="134"/>
          </rPr>
          <t xml:space="preserve">
6月4日休年假1天，8小时。</t>
        </r>
      </text>
    </comment>
    <comment ref="J16" authorId="0">
      <text>
        <r>
          <rPr>
            <b/>
            <sz val="9"/>
            <rFont val="宋体"/>
            <charset val="134"/>
          </rPr>
          <t xml:space="preserve">Administrator:
</t>
        </r>
        <r>
          <rPr>
            <sz val="9"/>
            <rFont val="宋体"/>
            <charset val="134"/>
          </rPr>
          <t xml:space="preserve">6月1日8:00-9:00调休1小时；
</t>
        </r>
      </text>
    </comment>
    <comment ref="K16" authorId="0">
      <text>
        <r>
          <rPr>
            <b/>
            <sz val="9"/>
            <rFont val="宋体"/>
            <charset val="134"/>
          </rPr>
          <t>Administrator:</t>
        </r>
        <r>
          <rPr>
            <sz val="9"/>
            <rFont val="宋体"/>
            <charset val="134"/>
          </rPr>
          <t xml:space="preserve">
6月4日、8日、9日、10日、12日、13日、15日上午各休年假半天4小时，共28小时。
6月3日、5日、18日、22日8:00-10:00各休年假2小时，共8小时；
</t>
        </r>
        <r>
          <rPr>
            <b/>
            <sz val="9"/>
            <rFont val="宋体"/>
            <charset val="134"/>
          </rPr>
          <t>共计36小时。</t>
        </r>
      </text>
    </comment>
    <comment ref="K17" authorId="0">
      <text>
        <r>
          <rPr>
            <b/>
            <sz val="9"/>
            <rFont val="宋体"/>
            <charset val="134"/>
          </rPr>
          <t>Administrator:</t>
        </r>
        <r>
          <rPr>
            <sz val="9"/>
            <rFont val="宋体"/>
            <charset val="134"/>
          </rPr>
          <t xml:space="preserve">
6月5日休年假1天，8小时；
6月10日下午休年假半天，4小时；
6月27日下午休年假半天，4小时；
</t>
        </r>
        <r>
          <rPr>
            <b/>
            <sz val="9"/>
            <rFont val="宋体"/>
            <charset val="134"/>
          </rPr>
          <t>共计16小时。</t>
        </r>
      </text>
    </comment>
    <comment ref="J18" authorId="0">
      <text>
        <r>
          <rPr>
            <b/>
            <sz val="9"/>
            <rFont val="宋体"/>
            <charset val="134"/>
          </rPr>
          <t>Administrator:</t>
        </r>
        <r>
          <rPr>
            <sz val="9"/>
            <rFont val="宋体"/>
            <charset val="134"/>
          </rPr>
          <t xml:space="preserve">
6月18日15:00-18:00调休3小时；</t>
        </r>
      </text>
    </comment>
    <comment ref="J19" authorId="0">
      <text>
        <r>
          <rPr>
            <b/>
            <sz val="9"/>
            <rFont val="宋体"/>
            <charset val="134"/>
          </rPr>
          <t>Administrator:</t>
        </r>
        <r>
          <rPr>
            <sz val="9"/>
            <rFont val="宋体"/>
            <charset val="134"/>
          </rPr>
          <t xml:space="preserve">
6月27日15:00-18:00调休3小时。</t>
        </r>
      </text>
    </comment>
    <comment ref="J20" authorId="0">
      <text>
        <r>
          <rPr>
            <b/>
            <sz val="9"/>
            <rFont val="宋体"/>
            <charset val="134"/>
          </rPr>
          <t>Administrator:</t>
        </r>
        <r>
          <rPr>
            <sz val="9"/>
            <rFont val="宋体"/>
            <charset val="134"/>
          </rPr>
          <t xml:space="preserve">
6月24日16:30-18:00调休1.5小时。</t>
        </r>
      </text>
    </comment>
    <comment ref="K20" authorId="0">
      <text>
        <r>
          <rPr>
            <b/>
            <sz val="9"/>
            <rFont val="宋体"/>
            <charset val="134"/>
          </rPr>
          <t>Administrator:</t>
        </r>
        <r>
          <rPr>
            <sz val="9"/>
            <rFont val="宋体"/>
            <charset val="134"/>
          </rPr>
          <t xml:space="preserve">
6月27日休年假1天，8小时。</t>
        </r>
      </text>
    </comment>
    <comment ref="K21" authorId="0">
      <text>
        <r>
          <rPr>
            <b/>
            <sz val="9"/>
            <rFont val="宋体"/>
            <charset val="134"/>
          </rPr>
          <t>Administrator:</t>
        </r>
        <r>
          <rPr>
            <sz val="9"/>
            <rFont val="宋体"/>
            <charset val="134"/>
          </rPr>
          <t xml:space="preserve">
6月12日休年假1天，8小时。</t>
        </r>
      </text>
    </comment>
    <comment ref="J22" authorId="0">
      <text>
        <r>
          <rPr>
            <b/>
            <sz val="9"/>
            <rFont val="宋体"/>
            <charset val="134"/>
          </rPr>
          <t>Administrator:</t>
        </r>
        <r>
          <rPr>
            <sz val="9"/>
            <rFont val="宋体"/>
            <charset val="134"/>
          </rPr>
          <t xml:space="preserve">
6月12日调休1天，8小时。</t>
        </r>
      </text>
    </comment>
    <comment ref="J23" authorId="0">
      <text>
        <r>
          <rPr>
            <b/>
            <sz val="9"/>
            <rFont val="宋体"/>
            <charset val="134"/>
          </rPr>
          <t>Administrator:</t>
        </r>
        <r>
          <rPr>
            <sz val="9"/>
            <rFont val="宋体"/>
            <charset val="134"/>
          </rPr>
          <t xml:space="preserve">
6月1日14:00-18:00调休4小时；
6月3日11:30-12:00调休0.5小时；
6月24日16:00-18:00调休2小时；
6月27日17:00-18:00调休1小时；
6月29日17:30-18:00调休0.5小时；</t>
        </r>
        <r>
          <rPr>
            <b/>
            <sz val="9"/>
            <rFont val="宋体"/>
            <charset val="134"/>
          </rPr>
          <t>共计调休8小时。</t>
        </r>
      </text>
    </comment>
    <comment ref="S23" authorId="0">
      <text>
        <r>
          <rPr>
            <b/>
            <sz val="9"/>
            <rFont val="宋体"/>
            <charset val="134"/>
          </rPr>
          <t>Administrator:</t>
        </r>
        <r>
          <rPr>
            <sz val="9"/>
            <rFont val="宋体"/>
            <charset val="134"/>
          </rPr>
          <t xml:space="preserve">
6月7日15:40-16:40</t>
        </r>
        <r>
          <rPr>
            <b/>
            <sz val="9"/>
            <rFont val="宋体"/>
            <charset val="134"/>
          </rPr>
          <t>加班1小时</t>
        </r>
        <r>
          <rPr>
            <sz val="9"/>
            <rFont val="宋体"/>
            <charset val="134"/>
          </rPr>
          <t>，品道发样品；
6月14日8:00-17:00</t>
        </r>
        <r>
          <rPr>
            <b/>
            <sz val="9"/>
            <rFont val="宋体"/>
            <charset val="134"/>
          </rPr>
          <t>加班7小时</t>
        </r>
        <r>
          <rPr>
            <sz val="9"/>
            <rFont val="宋体"/>
            <charset val="134"/>
          </rPr>
          <t>，发货；
6月19日15:30-16:30加班1小时，发样品.端午节加班按三倍计，</t>
        </r>
        <r>
          <rPr>
            <b/>
            <sz val="9"/>
            <rFont val="宋体"/>
            <charset val="134"/>
          </rPr>
          <t>故共3小时</t>
        </r>
        <r>
          <rPr>
            <sz val="9"/>
            <rFont val="宋体"/>
            <charset val="134"/>
          </rPr>
          <t>；</t>
        </r>
        <r>
          <rPr>
            <b/>
            <sz val="9"/>
            <rFont val="宋体"/>
            <charset val="134"/>
          </rPr>
          <t>共计加班11小时。</t>
        </r>
      </text>
    </comment>
    <comment ref="J24" authorId="0">
      <text>
        <r>
          <rPr>
            <b/>
            <sz val="9"/>
            <rFont val="宋体"/>
            <charset val="134"/>
          </rPr>
          <t>Administrator:</t>
        </r>
        <r>
          <rPr>
            <sz val="9"/>
            <rFont val="宋体"/>
            <charset val="134"/>
          </rPr>
          <t xml:space="preserve">
6月18日14:00-18:00调休4小时；</t>
        </r>
      </text>
    </comment>
    <comment ref="S24" authorId="0">
      <text>
        <r>
          <rPr>
            <b/>
            <sz val="9"/>
            <rFont val="宋体"/>
            <charset val="134"/>
          </rPr>
          <t>Administrator:</t>
        </r>
        <r>
          <rPr>
            <sz val="9"/>
            <rFont val="宋体"/>
            <charset val="134"/>
          </rPr>
          <t xml:space="preserve">
6月6日8:00-18:00加班8小时，发货，寄样；
6月14日8:00-18:00加班8小时，发货；</t>
        </r>
      </text>
    </comment>
    <comment ref="J25" authorId="0">
      <text>
        <r>
          <rPr>
            <b/>
            <sz val="9"/>
            <rFont val="宋体"/>
            <charset val="134"/>
          </rPr>
          <t>Administrator:</t>
        </r>
        <r>
          <rPr>
            <sz val="9"/>
            <rFont val="宋体"/>
            <charset val="134"/>
          </rPr>
          <t xml:space="preserve">
6月5日14:00-18:00调休4小时；
6月6日17:30-18:00调休0.5小时；
6月13日17:00-18:00调休1小时；
6月20日8:00-18:00调休8小时；
</t>
        </r>
        <r>
          <rPr>
            <b/>
            <sz val="9"/>
            <rFont val="宋体"/>
            <charset val="134"/>
          </rPr>
          <t>共计调休13.5小时。</t>
        </r>
      </text>
    </comment>
    <comment ref="K26" authorId="0">
      <text>
        <r>
          <rPr>
            <b/>
            <sz val="9"/>
            <rFont val="宋体"/>
            <charset val="134"/>
          </rPr>
          <t>Administrator:</t>
        </r>
        <r>
          <rPr>
            <sz val="9"/>
            <rFont val="宋体"/>
            <charset val="134"/>
          </rPr>
          <t xml:space="preserve">
6月20日休年假1天，8小时。</t>
        </r>
      </text>
    </comment>
    <comment ref="J27" authorId="0">
      <text>
        <r>
          <rPr>
            <b/>
            <sz val="9"/>
            <rFont val="宋体"/>
            <charset val="134"/>
          </rPr>
          <t>Administrator:</t>
        </r>
        <r>
          <rPr>
            <sz val="9"/>
            <rFont val="宋体"/>
            <charset val="134"/>
          </rPr>
          <t xml:space="preserve">
6月13日、22日各调休1天，共16小时。</t>
        </r>
      </text>
    </comment>
    <comment ref="J28" authorId="0">
      <text>
        <r>
          <rPr>
            <b/>
            <sz val="9"/>
            <rFont val="宋体"/>
            <charset val="134"/>
          </rPr>
          <t>Administrator:</t>
        </r>
        <r>
          <rPr>
            <sz val="9"/>
            <rFont val="宋体"/>
            <charset val="134"/>
          </rPr>
          <t xml:space="preserve">
6月18日17:00-18:00调休1小时。</t>
        </r>
      </text>
    </comment>
    <comment ref="I29" authorId="0">
      <text>
        <r>
          <rPr>
            <b/>
            <sz val="9"/>
            <rFont val="宋体"/>
            <charset val="134"/>
          </rPr>
          <t>Administrator:</t>
        </r>
        <r>
          <rPr>
            <sz val="9"/>
            <rFont val="宋体"/>
            <charset val="134"/>
          </rPr>
          <t xml:space="preserve">
6月1日-2日休病假2天，共16小时。</t>
        </r>
      </text>
    </comment>
    <comment ref="K29" authorId="0">
      <text>
        <r>
          <rPr>
            <b/>
            <sz val="9"/>
            <rFont val="宋体"/>
            <charset val="134"/>
          </rPr>
          <t>Administrator:</t>
        </r>
        <r>
          <rPr>
            <sz val="9"/>
            <rFont val="宋体"/>
            <charset val="134"/>
          </rPr>
          <t xml:space="preserve">
6月6日上午休年假半天，4小时。</t>
        </r>
      </text>
    </comment>
    <comment ref="S29" authorId="0">
      <text>
        <r>
          <rPr>
            <b/>
            <sz val="9"/>
            <rFont val="宋体"/>
            <charset val="134"/>
          </rPr>
          <t>Administrator:</t>
        </r>
        <r>
          <rPr>
            <sz val="9"/>
            <rFont val="宋体"/>
            <charset val="134"/>
          </rPr>
          <t xml:space="preserve">
6月15日13:00-14:00加班1小时，发物料。</t>
        </r>
      </text>
    </comment>
    <comment ref="J30" authorId="0">
      <text>
        <r>
          <rPr>
            <b/>
            <sz val="9"/>
            <rFont val="宋体"/>
            <charset val="134"/>
          </rPr>
          <t>Administrator:</t>
        </r>
        <r>
          <rPr>
            <sz val="9"/>
            <rFont val="宋体"/>
            <charset val="134"/>
          </rPr>
          <t xml:space="preserve">
6月6日8:00-8:30调休0.5小时。</t>
        </r>
      </text>
    </comment>
    <comment ref="K30" authorId="0">
      <text>
        <r>
          <rPr>
            <b/>
            <sz val="9"/>
            <rFont val="宋体"/>
            <charset val="134"/>
          </rPr>
          <t>Administrator:</t>
        </r>
        <r>
          <rPr>
            <sz val="9"/>
            <rFont val="宋体"/>
            <charset val="134"/>
          </rPr>
          <t xml:space="preserve">
6月30日下午休年假半天，4小时。</t>
        </r>
      </text>
    </comment>
    <comment ref="J31" authorId="0">
      <text>
        <r>
          <rPr>
            <b/>
            <sz val="9"/>
            <rFont val="宋体"/>
            <charset val="134"/>
          </rPr>
          <t>Administrator:</t>
        </r>
        <r>
          <rPr>
            <sz val="9"/>
            <rFont val="宋体"/>
            <charset val="134"/>
          </rPr>
          <t xml:space="preserve">
6月14日17:00-18:00调休1小时。</t>
        </r>
      </text>
    </comment>
  </commentList>
</comments>
</file>

<file path=xl/sharedStrings.xml><?xml version="1.0" encoding="utf-8"?>
<sst xmlns="http://schemas.openxmlformats.org/spreadsheetml/2006/main" count="70" uniqueCount="65">
  <si>
    <t>2026年6月份行政后勤考勤统计表</t>
  </si>
  <si>
    <t>编制单位:湖北田野农谷生物科技有限公司</t>
  </si>
  <si>
    <t>制表时间：2026年7月2日</t>
  </si>
  <si>
    <t>序号</t>
  </si>
  <si>
    <t>姓名</t>
  </si>
  <si>
    <t>月天数
（天）</t>
  </si>
  <si>
    <t>应出勤
（小时）</t>
  </si>
  <si>
    <t>实出勤
（小时）</t>
  </si>
  <si>
    <t>应计出勤
（小时）</t>
  </si>
  <si>
    <t>公休/假期
（天）</t>
  </si>
  <si>
    <t>请假 （小时）</t>
  </si>
  <si>
    <t>年假
（小时）</t>
  </si>
  <si>
    <t>出差
（天）</t>
  </si>
  <si>
    <t>旷工
（天）</t>
  </si>
  <si>
    <t>迟到
（次）</t>
  </si>
  <si>
    <t>早退
（次）</t>
  </si>
  <si>
    <t>上班缺卡
（次）</t>
  </si>
  <si>
    <t>下班缺卡
（次）</t>
  </si>
  <si>
    <t>总缺卡
（次）</t>
  </si>
  <si>
    <t>加班
（小时）</t>
  </si>
  <si>
    <t>2026年5月剩假（小时）</t>
  </si>
  <si>
    <t>2026年6月剩假（小时）</t>
  </si>
  <si>
    <t>年假截止
6月（小时）</t>
  </si>
  <si>
    <t>年假截止
5月（小时）</t>
  </si>
  <si>
    <t>事假</t>
  </si>
  <si>
    <t>病假</t>
  </si>
  <si>
    <t>调休</t>
  </si>
  <si>
    <t>李明明</t>
  </si>
  <si>
    <t>张明</t>
  </si>
  <si>
    <t>赵聪</t>
  </si>
  <si>
    <t>闫倩</t>
  </si>
  <si>
    <t>吴晓霞</t>
  </si>
  <si>
    <t>王琪</t>
  </si>
  <si>
    <t>李凤皇</t>
  </si>
  <si>
    <t>潘红琼</t>
  </si>
  <si>
    <t>王芳</t>
  </si>
  <si>
    <t>杨太琴</t>
  </si>
  <si>
    <t>程静</t>
  </si>
  <si>
    <t>高文利</t>
  </si>
  <si>
    <t>王芳（财务）</t>
  </si>
  <si>
    <t>喻艳</t>
  </si>
  <si>
    <t>李红盼</t>
  </si>
  <si>
    <t>黎冬霜</t>
  </si>
  <si>
    <t>严锦</t>
  </si>
  <si>
    <t>庞龙斌</t>
  </si>
  <si>
    <t>李学飞</t>
  </si>
  <si>
    <t>林艳</t>
  </si>
  <si>
    <t>王洪平</t>
  </si>
  <si>
    <t>余德胜</t>
  </si>
  <si>
    <t>聂小玲</t>
  </si>
  <si>
    <t>马春霞</t>
  </si>
  <si>
    <t>张雪梅</t>
  </si>
  <si>
    <t>方小荣</t>
  </si>
  <si>
    <t>何晓光</t>
  </si>
  <si>
    <t>备注</t>
  </si>
  <si>
    <t>以上考勤数据依照本月钉钉考勤机整理得出，因特殊情况请假或出勤而不能按时打考勤的请及时补办有关手续报送行政人力资源部。2个工作日未及时补办有关手续的人员一律以钉钉数据为准，按考勤制度规定拟定工资表，按考核规定扣除考核分。</t>
  </si>
  <si>
    <t>领导签字：</t>
  </si>
  <si>
    <t>统计：王琪</t>
  </si>
  <si>
    <t>（行政部）2026年6月打卡异常明细表</t>
  </si>
  <si>
    <t>异常情况说明</t>
  </si>
  <si>
    <t>6月22缺卡1次，忘记打卡。</t>
  </si>
  <si>
    <t>6月29日缺卡1次，忘记打卡。</t>
  </si>
  <si>
    <t>6月9日缺卡2次，去接姚董回公司；
6月10日缺卡1次，送姚董去车站；
6月12日缺卡3次，去荆门办事；
6月17日缺卡2次，去荆门审车；
6月29日缺卡2次，管理区开会；
6月24缺卡2次，去荆门开会；</t>
  </si>
  <si>
    <t>行政人力资源负责人签字：                     日期：2026年7月8日</t>
  </si>
  <si>
    <t>副总签字：                    日期：2026年7月8日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</si>
</sst>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sz val="11"/>
      <name val="宋体"/>
      <charset val="134"/>
      <scheme val="minor"/>
    </font>
    <font>
      <b/>
      <sz val="11"/>
      <name val="宋体"/>
      <charset val="134"/>
      <scheme val="minor"/>
    </font>
    <font>
      <b/>
      <sz val="15"/>
      <name val="宋体"/>
      <charset val="134"/>
      <scheme val="minor"/>
    </font>
    <font>
      <sz val="12"/>
      <name val="宋体"/>
      <charset val="134"/>
      <scheme val="minor"/>
    </font>
    <font>
      <b/>
      <sz val="16"/>
      <color theme="1"/>
      <name val="微软雅黑"/>
      <charset val="134"/>
    </font>
    <font>
      <sz val="11"/>
      <color theme="1"/>
      <name val="微软雅黑"/>
      <charset val="134"/>
    </font>
    <font>
      <b/>
      <sz val="9"/>
      <color theme="1"/>
      <name val="微软雅黑"/>
      <charset val="134"/>
    </font>
    <font>
      <b/>
      <sz val="8"/>
      <color theme="1"/>
      <name val="微软雅黑"/>
      <charset val="134"/>
    </font>
    <font>
      <sz val="9"/>
      <color theme="1"/>
      <name val="微软雅黑"/>
      <charset val="134"/>
    </font>
    <font>
      <sz val="9"/>
      <name val="微软雅黑"/>
      <charset val="134"/>
    </font>
    <font>
      <b/>
      <sz val="11"/>
      <color theme="1"/>
      <name val="微软雅黑"/>
      <charset val="134"/>
    </font>
    <font>
      <b/>
      <sz val="12"/>
      <color theme="1"/>
      <name val="微软雅黑"/>
      <charset val="134"/>
    </font>
    <font>
      <b/>
      <sz val="8"/>
      <color rgb="FFFF0000"/>
      <name val="微软雅黑"/>
      <charset val="134"/>
    </font>
    <font>
      <b/>
      <sz val="14"/>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9"/>
      <name val="宋体"/>
      <charset val="134"/>
    </font>
    <font>
      <b/>
      <sz val="9"/>
      <name val="宋体"/>
      <charset val="134"/>
    </font>
  </fonts>
  <fills count="36">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7"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8" applyNumberFormat="0" applyFill="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2" fillId="0" borderId="0" applyNumberFormat="0" applyFill="0" applyBorder="0" applyAlignment="0" applyProtection="0">
      <alignment vertical="center"/>
    </xf>
    <xf numFmtId="0" fontId="23" fillId="6" borderId="10" applyNumberFormat="0" applyAlignment="0" applyProtection="0">
      <alignment vertical="center"/>
    </xf>
    <xf numFmtId="0" fontId="24" fillId="7" borderId="11" applyNumberFormat="0" applyAlignment="0" applyProtection="0">
      <alignment vertical="center"/>
    </xf>
    <xf numFmtId="0" fontId="25" fillId="7" borderId="10" applyNumberFormat="0" applyAlignment="0" applyProtection="0">
      <alignment vertical="center"/>
    </xf>
    <xf numFmtId="0" fontId="26" fillId="8" borderId="12" applyNumberFormat="0" applyAlignment="0" applyProtection="0">
      <alignment vertical="center"/>
    </xf>
    <xf numFmtId="0" fontId="27" fillId="0" borderId="13" applyNumberFormat="0" applyFill="0" applyAlignment="0" applyProtection="0">
      <alignment vertical="center"/>
    </xf>
    <xf numFmtId="0" fontId="28" fillId="0" borderId="14"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4" fillId="0" borderId="0"/>
  </cellStyleXfs>
  <cellXfs count="72">
    <xf numFmtId="0" fontId="0" fillId="0" borderId="0" xfId="0">
      <alignment vertical="center"/>
    </xf>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1" fillId="0" borderId="0" xfId="0" applyFont="1" applyFill="1" applyAlignment="1">
      <alignment vertical="center" wrapText="1"/>
    </xf>
    <xf numFmtId="0" fontId="3" fillId="0" borderId="0" xfId="0" applyFont="1" applyFill="1" applyAlignment="1">
      <alignment horizontal="center"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49" fontId="1" fillId="0" borderId="2" xfId="0" applyNumberFormat="1" applyFont="1" applyFill="1" applyBorder="1" applyAlignment="1">
      <alignment horizontal="left" vertical="center" wrapText="1"/>
    </xf>
    <xf numFmtId="58" fontId="1" fillId="0" borderId="3" xfId="0" applyNumberFormat="1" applyFont="1" applyFill="1" applyBorder="1" applyAlignment="1">
      <alignment horizontal="left" vertical="center" wrapText="1"/>
    </xf>
    <xf numFmtId="0" fontId="1" fillId="0" borderId="2" xfId="0" applyFont="1" applyFill="1" applyBorder="1" applyAlignment="1">
      <alignment horizontal="left" vertical="center" wrapText="1"/>
    </xf>
    <xf numFmtId="0" fontId="4" fillId="0" borderId="3"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4" xfId="0" applyFont="1" applyFill="1" applyBorder="1" applyAlignment="1">
      <alignment horizontal="center" vertical="center"/>
    </xf>
    <xf numFmtId="0" fontId="4" fillId="0" borderId="4" xfId="0" applyFont="1" applyFill="1" applyBorder="1" applyAlignment="1">
      <alignment horizontal="left" vertical="center"/>
    </xf>
    <xf numFmtId="0" fontId="1" fillId="0" borderId="0" xfId="0" applyFont="1" applyFill="1" applyBorder="1" applyAlignment="1">
      <alignment horizontal="center" vertical="center" wrapText="1"/>
    </xf>
    <xf numFmtId="49" fontId="1" fillId="0" borderId="5" xfId="0" applyNumberFormat="1" applyFont="1" applyFill="1" applyBorder="1" applyAlignment="1">
      <alignment horizontal="left" vertical="center" wrapText="1"/>
    </xf>
    <xf numFmtId="0" fontId="1" fillId="0" borderId="5" xfId="0" applyFont="1" applyFill="1" applyBorder="1" applyAlignment="1">
      <alignment horizontal="left" vertical="center" wrapText="1"/>
    </xf>
    <xf numFmtId="0" fontId="4" fillId="0" borderId="5" xfId="0" applyFont="1" applyFill="1" applyBorder="1" applyAlignment="1">
      <alignment horizontal="center" vertical="center" wrapText="1"/>
    </xf>
    <xf numFmtId="0" fontId="4" fillId="0" borderId="1" xfId="0" applyFont="1" applyFill="1" applyBorder="1" applyAlignment="1">
      <alignment horizontal="left" vertical="center"/>
    </xf>
    <xf numFmtId="0" fontId="0" fillId="2" borderId="0" xfId="0" applyFont="1" applyFill="1">
      <alignment vertical="center"/>
    </xf>
    <xf numFmtId="0" fontId="0" fillId="0" borderId="0" xfId="0" applyFill="1">
      <alignment vertical="center"/>
    </xf>
    <xf numFmtId="0" fontId="0" fillId="0" borderId="0" xfId="0" applyFont="1" applyFill="1">
      <alignment vertical="center"/>
    </xf>
    <xf numFmtId="0" fontId="1" fillId="2" borderId="0" xfId="0" applyFont="1" applyFill="1">
      <alignment vertical="center"/>
    </xf>
    <xf numFmtId="0" fontId="0" fillId="2" borderId="0" xfId="0" applyFont="1" applyFill="1" applyAlignment="1">
      <alignment horizontal="center" vertical="center"/>
    </xf>
    <xf numFmtId="0" fontId="5" fillId="2" borderId="0" xfId="0" applyFont="1" applyFill="1" applyAlignment="1" applyProtection="1">
      <alignment horizontal="center" vertical="center"/>
    </xf>
    <xf numFmtId="0" fontId="6" fillId="2" borderId="0" xfId="0" applyFont="1" applyFill="1" applyProtection="1">
      <alignment vertical="center"/>
    </xf>
    <xf numFmtId="0" fontId="7" fillId="2" borderId="6" xfId="0" applyFont="1" applyFill="1" applyBorder="1" applyAlignment="1" applyProtection="1">
      <alignment horizontal="center" vertical="center" wrapText="1"/>
    </xf>
    <xf numFmtId="0" fontId="8" fillId="2" borderId="6" xfId="0" applyFont="1" applyFill="1" applyBorder="1" applyAlignment="1" applyProtection="1">
      <alignment horizontal="center" vertical="center" wrapText="1"/>
    </xf>
    <xf numFmtId="0" fontId="7" fillId="2" borderId="4" xfId="0" applyFont="1" applyFill="1" applyBorder="1" applyAlignment="1" applyProtection="1">
      <alignment horizontal="center" vertical="center" wrapText="1"/>
    </xf>
    <xf numFmtId="0" fontId="8" fillId="2" borderId="4" xfId="0" applyFont="1" applyFill="1" applyBorder="1" applyAlignment="1" applyProtection="1">
      <alignment horizontal="center" vertical="center" wrapText="1"/>
    </xf>
    <xf numFmtId="0" fontId="9" fillId="2" borderId="1" xfId="0" applyFont="1" applyFill="1" applyBorder="1" applyAlignment="1" applyProtection="1">
      <alignment horizontal="center" vertical="center"/>
    </xf>
    <xf numFmtId="0" fontId="9" fillId="0" borderId="1" xfId="0" applyFont="1" applyFill="1" applyBorder="1" applyAlignment="1" applyProtection="1">
      <alignment horizontal="center" vertical="center"/>
    </xf>
    <xf numFmtId="0" fontId="10" fillId="0" borderId="1" xfId="0" applyFont="1" applyFill="1" applyBorder="1" applyAlignment="1" applyProtection="1">
      <alignment horizontal="center" vertical="center"/>
    </xf>
    <xf numFmtId="0" fontId="10" fillId="0" borderId="1" xfId="0" applyFont="1" applyFill="1" applyBorder="1" applyAlignment="1" applyProtection="1">
      <alignment horizontal="center" vertical="center" wrapText="1"/>
    </xf>
    <xf numFmtId="0" fontId="10" fillId="0" borderId="1" xfId="0" applyNumberFormat="1"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9" fillId="2" borderId="1" xfId="49" applyFont="1" applyFill="1" applyBorder="1" applyAlignment="1" applyProtection="1">
      <alignment horizontal="center" vertical="center"/>
    </xf>
    <xf numFmtId="0" fontId="9" fillId="0" borderId="1" xfId="49" applyFont="1" applyFill="1" applyBorder="1" applyAlignment="1" applyProtection="1">
      <alignment horizontal="center" vertical="center"/>
    </xf>
    <xf numFmtId="0" fontId="11" fillId="2" borderId="1" xfId="0" applyFont="1" applyFill="1" applyBorder="1" applyAlignment="1" applyProtection="1">
      <alignment horizontal="center" vertical="center" wrapText="1"/>
    </xf>
    <xf numFmtId="0" fontId="11" fillId="2" borderId="3" xfId="0" applyFont="1" applyFill="1" applyBorder="1" applyAlignment="1" applyProtection="1">
      <alignment horizontal="left" vertical="center" wrapText="1"/>
    </xf>
    <xf numFmtId="0" fontId="11" fillId="2" borderId="2" xfId="0" applyFont="1" applyFill="1" applyBorder="1" applyAlignment="1" applyProtection="1">
      <alignment horizontal="left" vertical="center" wrapText="1"/>
    </xf>
    <xf numFmtId="0" fontId="11" fillId="0" borderId="0" xfId="0" applyFont="1" applyFill="1" applyAlignment="1" applyProtection="1">
      <alignment horizontal="center" vertical="center" wrapText="1"/>
    </xf>
    <xf numFmtId="0" fontId="11" fillId="0" borderId="0" xfId="0" applyFont="1" applyFill="1" applyAlignment="1" applyProtection="1">
      <alignment horizontal="left" vertical="center" wrapText="1"/>
    </xf>
    <xf numFmtId="0" fontId="12" fillId="0" borderId="0" xfId="0" applyFont="1" applyFill="1" applyAlignment="1" applyProtection="1">
      <alignment horizontal="center" vertical="center"/>
    </xf>
    <xf numFmtId="0" fontId="0" fillId="0" borderId="0" xfId="0" applyFont="1" applyFill="1" applyProtection="1">
      <alignment vertical="center"/>
    </xf>
    <xf numFmtId="0" fontId="6" fillId="0" borderId="0" xfId="0" applyFont="1" applyFill="1" applyProtection="1">
      <alignment vertical="center"/>
    </xf>
    <xf numFmtId="0" fontId="8" fillId="0" borderId="6" xfId="0" applyFont="1" applyFill="1" applyBorder="1" applyAlignment="1" applyProtection="1">
      <alignment horizontal="center" vertical="center" wrapText="1"/>
    </xf>
    <xf numFmtId="0" fontId="13" fillId="0" borderId="6" xfId="0" applyFont="1" applyFill="1" applyBorder="1" applyAlignment="1" applyProtection="1">
      <alignment horizontal="center" vertical="center" wrapText="1"/>
    </xf>
    <xf numFmtId="0" fontId="8" fillId="2" borderId="3" xfId="0" applyFont="1" applyFill="1" applyBorder="1" applyAlignment="1" applyProtection="1">
      <alignment horizontal="center" vertical="center" wrapText="1"/>
    </xf>
    <xf numFmtId="0" fontId="8" fillId="0" borderId="4" xfId="0" applyFont="1" applyFill="1" applyBorder="1" applyAlignment="1" applyProtection="1">
      <alignment horizontal="center" vertical="center" wrapText="1"/>
    </xf>
    <xf numFmtId="0" fontId="13" fillId="0" borderId="4" xfId="0" applyFont="1" applyFill="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0" fontId="9" fillId="2" borderId="4" xfId="0" applyFont="1" applyFill="1" applyBorder="1" applyAlignment="1" applyProtection="1">
      <alignment horizontal="center" vertical="center" wrapText="1"/>
    </xf>
    <xf numFmtId="0" fontId="11" fillId="2" borderId="0" xfId="0" applyFont="1" applyFill="1" applyAlignment="1" applyProtection="1">
      <alignment horizontal="left" vertical="center" wrapText="1"/>
    </xf>
    <xf numFmtId="0" fontId="12" fillId="2" borderId="0" xfId="0" applyFont="1" applyFill="1" applyAlignment="1" applyProtection="1">
      <alignment horizontal="center" vertical="center"/>
    </xf>
    <xf numFmtId="0" fontId="0" fillId="2" borderId="0" xfId="0" applyFont="1" applyFill="1" applyProtection="1">
      <alignment vertical="center"/>
    </xf>
    <xf numFmtId="0" fontId="8" fillId="2" borderId="2" xfId="0" applyFont="1" applyFill="1" applyBorder="1" applyAlignment="1" applyProtection="1">
      <alignment horizontal="center" vertical="center" wrapText="1"/>
    </xf>
    <xf numFmtId="0" fontId="8" fillId="2" borderId="5" xfId="0" applyFont="1" applyFill="1" applyBorder="1" applyAlignment="1" applyProtection="1">
      <alignment horizontal="center" vertical="center" wrapText="1"/>
    </xf>
    <xf numFmtId="0" fontId="12" fillId="2" borderId="0" xfId="0" applyFont="1" applyFill="1" applyAlignment="1" applyProtection="1">
      <alignment horizontal="center"/>
    </xf>
    <xf numFmtId="0" fontId="6" fillId="2" borderId="0" xfId="0" applyFont="1" applyFill="1" applyAlignment="1" applyProtection="1">
      <alignment vertical="center"/>
    </xf>
    <xf numFmtId="0" fontId="8" fillId="3" borderId="1" xfId="0" applyFont="1" applyFill="1" applyBorder="1" applyAlignment="1" applyProtection="1">
      <alignment horizontal="center" vertical="center" wrapText="1"/>
    </xf>
    <xf numFmtId="0" fontId="14" fillId="2" borderId="0" xfId="0" applyFont="1" applyFill="1" applyAlignment="1" applyProtection="1">
      <alignment horizontal="center" vertical="center"/>
    </xf>
    <xf numFmtId="0" fontId="0" fillId="2" borderId="0" xfId="0" applyFont="1" applyFill="1" applyAlignment="1" applyProtection="1">
      <alignment horizontal="center" vertical="center"/>
    </xf>
    <xf numFmtId="0" fontId="0" fillId="4" borderId="6" xfId="0" applyFont="1" applyFill="1" applyBorder="1" applyAlignment="1" applyProtection="1">
      <alignment horizontal="justify" vertical="center"/>
    </xf>
    <xf numFmtId="0" fontId="0" fillId="4" borderId="4" xfId="0" applyFont="1" applyFill="1" applyBorder="1" applyAlignment="1" applyProtection="1">
      <alignment horizontal="justify" vertical="center"/>
    </xf>
    <xf numFmtId="0" fontId="0" fillId="0" borderId="1" xfId="0" applyBorder="1" applyAlignment="1" applyProtection="1">
      <alignment horizontal="center" vertical="center"/>
    </xf>
    <xf numFmtId="0" fontId="0" fillId="4" borderId="1" xfId="0" applyFill="1" applyBorder="1" applyAlignment="1" applyProtection="1">
      <alignment horizontal="center" vertical="center"/>
    </xf>
    <xf numFmtId="0" fontId="11" fillId="2" borderId="2" xfId="0" applyFont="1" applyFill="1" applyBorder="1" applyAlignment="1" applyProtection="1">
      <alignment horizontal="center" vertical="center" wrapText="1"/>
    </xf>
    <xf numFmtId="0" fontId="0" fillId="4" borderId="6" xfId="0" applyFont="1" applyFill="1" applyBorder="1" applyAlignment="1" applyProtection="1">
      <alignment horizontal="center" vertical="center" wrapText="1"/>
    </xf>
    <xf numFmtId="0" fontId="0" fillId="4" borderId="4" xfId="0" applyFont="1" applyFill="1" applyBorder="1" applyAlignment="1" applyProtection="1">
      <alignment horizontal="center" vertical="center"/>
    </xf>
    <xf numFmtId="0" fontId="0" fillId="4" borderId="1" xfId="0"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1"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8"/>
  <sheetViews>
    <sheetView tabSelected="1" zoomScale="90" zoomScaleNormal="90" workbookViewId="0">
      <pane ySplit="4" topLeftCell="A5" activePane="bottomLeft" state="frozen"/>
      <selection/>
      <selection pane="bottomLeft" activeCell="B11" sqref="B11"/>
    </sheetView>
  </sheetViews>
  <sheetFormatPr defaultColWidth="5.625" defaultRowHeight="25" customHeight="1"/>
  <cols>
    <col min="1" max="1" width="4.75" style="20" customWidth="1"/>
    <col min="2" max="2" width="10" style="20" customWidth="1"/>
    <col min="3" max="3" width="6.25" style="20" customWidth="1"/>
    <col min="4" max="4" width="6.55769230769231" style="20" customWidth="1"/>
    <col min="5" max="5" width="6.55769230769231" style="22" customWidth="1"/>
    <col min="6" max="6" width="6.5" style="20" customWidth="1"/>
    <col min="7" max="7" width="7.375" style="20" customWidth="1"/>
    <col min="8" max="8" width="6.625" style="20" customWidth="1"/>
    <col min="9" max="9" width="6.375" style="20" customWidth="1"/>
    <col min="10" max="10" width="6.5" style="20" customWidth="1"/>
    <col min="11" max="11" width="6.875" style="20" customWidth="1"/>
    <col min="12" max="12" width="6.5" style="20" customWidth="1"/>
    <col min="13" max="13" width="5.875" style="20" customWidth="1"/>
    <col min="14" max="14" width="6" style="20" customWidth="1"/>
    <col min="15" max="15" width="5.625" style="20" customWidth="1"/>
    <col min="16" max="17" width="5.625" style="20" hidden="1" customWidth="1"/>
    <col min="18" max="19" width="6.55769230769231" style="20" customWidth="1"/>
    <col min="20" max="20" width="11.125" style="24" customWidth="1"/>
    <col min="21" max="21" width="12.125" style="24" customWidth="1"/>
    <col min="22" max="23" width="11.125" style="24" customWidth="1"/>
    <col min="24" max="16384" width="5.625" style="20"/>
  </cols>
  <sheetData>
    <row r="1" s="20" customFormat="1" customHeight="1" spans="1:23">
      <c r="A1" s="25" t="s">
        <v>0</v>
      </c>
      <c r="B1" s="25"/>
      <c r="C1" s="25"/>
      <c r="D1" s="25"/>
      <c r="E1" s="25"/>
      <c r="F1" s="25"/>
      <c r="G1" s="25"/>
      <c r="H1" s="25"/>
      <c r="I1" s="25"/>
      <c r="J1" s="25"/>
      <c r="K1" s="25"/>
      <c r="L1" s="25"/>
      <c r="M1" s="25"/>
      <c r="N1" s="25"/>
      <c r="O1" s="25"/>
      <c r="P1" s="25"/>
      <c r="Q1" s="25"/>
      <c r="R1" s="25"/>
      <c r="S1" s="25"/>
      <c r="T1" s="63"/>
      <c r="U1" s="63"/>
      <c r="V1" s="63"/>
      <c r="W1" s="63"/>
    </row>
    <row r="2" s="20" customFormat="1" ht="34" customHeight="1" spans="1:23">
      <c r="A2" s="26" t="s">
        <v>1</v>
      </c>
      <c r="B2" s="26"/>
      <c r="C2" s="26"/>
      <c r="D2" s="26"/>
      <c r="E2" s="46"/>
      <c r="F2" s="26"/>
      <c r="G2" s="26"/>
      <c r="H2" s="26"/>
      <c r="I2" s="26"/>
      <c r="J2" s="26"/>
      <c r="K2" s="26"/>
      <c r="L2" s="26"/>
      <c r="M2" s="26"/>
      <c r="N2" s="60" t="s">
        <v>2</v>
      </c>
      <c r="O2" s="60"/>
      <c r="P2" s="60"/>
      <c r="Q2" s="60"/>
      <c r="R2" s="60"/>
      <c r="S2" s="60"/>
      <c r="T2" s="63"/>
      <c r="U2" s="63"/>
      <c r="V2" s="63"/>
      <c r="W2" s="63"/>
    </row>
    <row r="3" s="20" customFormat="1" customHeight="1" spans="1:23">
      <c r="A3" s="27" t="s">
        <v>3</v>
      </c>
      <c r="B3" s="27" t="s">
        <v>4</v>
      </c>
      <c r="C3" s="28" t="s">
        <v>5</v>
      </c>
      <c r="D3" s="28" t="s">
        <v>6</v>
      </c>
      <c r="E3" s="47" t="s">
        <v>7</v>
      </c>
      <c r="F3" s="48" t="s">
        <v>8</v>
      </c>
      <c r="G3" s="28" t="s">
        <v>9</v>
      </c>
      <c r="H3" s="49" t="s">
        <v>10</v>
      </c>
      <c r="I3" s="57"/>
      <c r="J3" s="58"/>
      <c r="K3" s="48" t="s">
        <v>11</v>
      </c>
      <c r="L3" s="28" t="s">
        <v>12</v>
      </c>
      <c r="M3" s="28" t="s">
        <v>13</v>
      </c>
      <c r="N3" s="28" t="s">
        <v>14</v>
      </c>
      <c r="O3" s="52" t="s">
        <v>15</v>
      </c>
      <c r="P3" s="61" t="s">
        <v>16</v>
      </c>
      <c r="Q3" s="61" t="s">
        <v>17</v>
      </c>
      <c r="R3" s="52" t="s">
        <v>18</v>
      </c>
      <c r="S3" s="52" t="s">
        <v>19</v>
      </c>
      <c r="T3" s="64" t="s">
        <v>20</v>
      </c>
      <c r="U3" s="64" t="s">
        <v>21</v>
      </c>
      <c r="V3" s="69" t="s">
        <v>22</v>
      </c>
      <c r="W3" s="69" t="s">
        <v>23</v>
      </c>
    </row>
    <row r="4" s="20" customFormat="1" ht="28" customHeight="1" spans="1:23">
      <c r="A4" s="29"/>
      <c r="B4" s="29"/>
      <c r="C4" s="30"/>
      <c r="D4" s="30"/>
      <c r="E4" s="50"/>
      <c r="F4" s="51"/>
      <c r="G4" s="30"/>
      <c r="H4" s="52" t="s">
        <v>24</v>
      </c>
      <c r="I4" s="52" t="s">
        <v>25</v>
      </c>
      <c r="J4" s="52" t="s">
        <v>26</v>
      </c>
      <c r="K4" s="51"/>
      <c r="L4" s="30"/>
      <c r="M4" s="30"/>
      <c r="N4" s="30"/>
      <c r="O4" s="52"/>
      <c r="P4" s="61"/>
      <c r="Q4" s="61"/>
      <c r="R4" s="52"/>
      <c r="S4" s="52"/>
      <c r="T4" s="65"/>
      <c r="U4" s="65"/>
      <c r="V4" s="70"/>
      <c r="W4" s="70"/>
    </row>
    <row r="5" customFormat="1" customHeight="1" spans="1:23">
      <c r="A5" s="31">
        <v>1</v>
      </c>
      <c r="B5" s="31" t="s">
        <v>27</v>
      </c>
      <c r="C5" s="32">
        <v>30</v>
      </c>
      <c r="D5" s="32">
        <v>184</v>
      </c>
      <c r="E5" s="32">
        <f>D5-H5-I5-J5-K5+S5</f>
        <v>160</v>
      </c>
      <c r="F5" s="53">
        <f>E5+J5+K5-S5+I5</f>
        <v>184</v>
      </c>
      <c r="G5" s="53">
        <v>7</v>
      </c>
      <c r="H5" s="31">
        <v>0</v>
      </c>
      <c r="I5" s="31">
        <v>0</v>
      </c>
      <c r="J5" s="31">
        <v>0</v>
      </c>
      <c r="K5" s="31">
        <v>32</v>
      </c>
      <c r="L5" s="31">
        <v>0</v>
      </c>
      <c r="M5" s="31">
        <v>0</v>
      </c>
      <c r="N5" s="31">
        <v>0</v>
      </c>
      <c r="O5" s="31">
        <v>0</v>
      </c>
      <c r="P5" s="31"/>
      <c r="Q5" s="31"/>
      <c r="R5" s="66">
        <v>0</v>
      </c>
      <c r="S5" s="32">
        <v>8</v>
      </c>
      <c r="T5" s="67">
        <v>23</v>
      </c>
      <c r="U5" s="67">
        <f>T5-J5+S5</f>
        <v>31</v>
      </c>
      <c r="V5" s="67">
        <f>W5-K5</f>
        <v>8</v>
      </c>
      <c r="W5" s="67">
        <v>40</v>
      </c>
    </row>
    <row r="6" s="21" customFormat="1" customHeight="1" spans="1:23">
      <c r="A6" s="31">
        <v>2</v>
      </c>
      <c r="B6" s="33" t="s">
        <v>28</v>
      </c>
      <c r="C6" s="32">
        <v>30</v>
      </c>
      <c r="D6" s="32">
        <v>184</v>
      </c>
      <c r="E6" s="32">
        <f t="shared" ref="E6:E31" si="0">D6-H6-I6-J6-K6+S6</f>
        <v>184</v>
      </c>
      <c r="F6" s="53">
        <f t="shared" ref="F6:F31" si="1">E6+J6+K6-S6+I6</f>
        <v>184</v>
      </c>
      <c r="G6" s="53">
        <v>7</v>
      </c>
      <c r="H6" s="31">
        <v>0</v>
      </c>
      <c r="I6" s="31">
        <v>0</v>
      </c>
      <c r="J6" s="31">
        <v>0</v>
      </c>
      <c r="K6" s="31">
        <v>0</v>
      </c>
      <c r="L6" s="31">
        <v>1</v>
      </c>
      <c r="M6" s="31">
        <v>0</v>
      </c>
      <c r="N6" s="31">
        <v>0</v>
      </c>
      <c r="O6" s="31">
        <v>0</v>
      </c>
      <c r="P6" s="31"/>
      <c r="Q6" s="31"/>
      <c r="R6" s="66">
        <v>12</v>
      </c>
      <c r="S6" s="32">
        <v>0</v>
      </c>
      <c r="T6" s="67">
        <v>11.5</v>
      </c>
      <c r="U6" s="67">
        <f t="shared" ref="U6:U31" si="2">T6-J6+S6</f>
        <v>11.5</v>
      </c>
      <c r="V6" s="67">
        <f>W6-K6</f>
        <v>32</v>
      </c>
      <c r="W6" s="67">
        <v>32</v>
      </c>
    </row>
    <row r="7" customFormat="1" customHeight="1" spans="1:23">
      <c r="A7" s="31">
        <v>3</v>
      </c>
      <c r="B7" s="31" t="s">
        <v>29</v>
      </c>
      <c r="C7" s="32">
        <v>30</v>
      </c>
      <c r="D7" s="32">
        <v>184</v>
      </c>
      <c r="E7" s="32">
        <f t="shared" si="0"/>
        <v>184</v>
      </c>
      <c r="F7" s="53">
        <f t="shared" si="1"/>
        <v>184</v>
      </c>
      <c r="G7" s="53">
        <v>7</v>
      </c>
      <c r="H7" s="31">
        <v>0</v>
      </c>
      <c r="I7" s="31">
        <v>0</v>
      </c>
      <c r="J7" s="31">
        <v>0</v>
      </c>
      <c r="K7" s="31">
        <v>0</v>
      </c>
      <c r="L7" s="31">
        <v>0</v>
      </c>
      <c r="M7" s="31">
        <v>0</v>
      </c>
      <c r="N7" s="31">
        <v>0</v>
      </c>
      <c r="O7" s="31">
        <v>0</v>
      </c>
      <c r="P7" s="31"/>
      <c r="Q7" s="31"/>
      <c r="R7" s="66">
        <v>0</v>
      </c>
      <c r="S7" s="32">
        <v>0</v>
      </c>
      <c r="T7" s="67">
        <v>6.5</v>
      </c>
      <c r="U7" s="67">
        <f t="shared" si="2"/>
        <v>6.5</v>
      </c>
      <c r="V7" s="67">
        <f>W7-K7</f>
        <v>16</v>
      </c>
      <c r="W7" s="67">
        <v>16</v>
      </c>
    </row>
    <row r="8" customFormat="1" customHeight="1" spans="1:23">
      <c r="A8" s="31">
        <v>4</v>
      </c>
      <c r="B8" s="31" t="s">
        <v>30</v>
      </c>
      <c r="C8" s="32">
        <v>30</v>
      </c>
      <c r="D8" s="32">
        <v>184</v>
      </c>
      <c r="E8" s="32">
        <f t="shared" si="0"/>
        <v>180</v>
      </c>
      <c r="F8" s="53">
        <f t="shared" si="1"/>
        <v>184</v>
      </c>
      <c r="G8" s="53">
        <v>7</v>
      </c>
      <c r="H8" s="31">
        <v>0</v>
      </c>
      <c r="I8" s="31">
        <v>0</v>
      </c>
      <c r="J8" s="31">
        <v>0.5</v>
      </c>
      <c r="K8" s="31">
        <v>8</v>
      </c>
      <c r="L8" s="31">
        <v>0</v>
      </c>
      <c r="M8" s="31">
        <v>0</v>
      </c>
      <c r="N8" s="31">
        <v>0</v>
      </c>
      <c r="O8" s="31">
        <v>0</v>
      </c>
      <c r="P8" s="31"/>
      <c r="Q8" s="31"/>
      <c r="R8" s="66">
        <v>1</v>
      </c>
      <c r="S8" s="32">
        <v>4.5</v>
      </c>
      <c r="T8" s="67">
        <v>2.5</v>
      </c>
      <c r="U8" s="67">
        <f t="shared" si="2"/>
        <v>6.5</v>
      </c>
      <c r="V8" s="67">
        <f>W8-K8</f>
        <v>8</v>
      </c>
      <c r="W8" s="67">
        <v>16</v>
      </c>
    </row>
    <row r="9" customFormat="1" customHeight="1" spans="1:23">
      <c r="A9" s="31">
        <v>5</v>
      </c>
      <c r="B9" s="32" t="s">
        <v>31</v>
      </c>
      <c r="C9" s="32">
        <v>30</v>
      </c>
      <c r="D9" s="32">
        <v>184</v>
      </c>
      <c r="E9" s="32">
        <f t="shared" si="0"/>
        <v>185.5</v>
      </c>
      <c r="F9" s="53">
        <f t="shared" si="1"/>
        <v>184</v>
      </c>
      <c r="G9" s="53">
        <v>7</v>
      </c>
      <c r="H9" s="31">
        <v>0</v>
      </c>
      <c r="I9" s="31">
        <v>0</v>
      </c>
      <c r="J9" s="31">
        <v>0.5</v>
      </c>
      <c r="K9" s="31">
        <v>0</v>
      </c>
      <c r="L9" s="31">
        <v>0</v>
      </c>
      <c r="M9" s="31">
        <v>0</v>
      </c>
      <c r="N9" s="31">
        <v>0</v>
      </c>
      <c r="O9" s="31">
        <v>0</v>
      </c>
      <c r="P9" s="31"/>
      <c r="Q9" s="31"/>
      <c r="R9" s="66">
        <v>0</v>
      </c>
      <c r="S9" s="32">
        <v>2</v>
      </c>
      <c r="T9" s="67">
        <v>23</v>
      </c>
      <c r="U9" s="67">
        <f t="shared" si="2"/>
        <v>24.5</v>
      </c>
      <c r="V9" s="67">
        <f>W9-K9</f>
        <v>32</v>
      </c>
      <c r="W9" s="67">
        <v>32</v>
      </c>
    </row>
    <row r="10" customFormat="1" customHeight="1" spans="1:23">
      <c r="A10" s="31">
        <v>6</v>
      </c>
      <c r="B10" s="31" t="s">
        <v>32</v>
      </c>
      <c r="C10" s="32">
        <v>30</v>
      </c>
      <c r="D10" s="32">
        <v>184</v>
      </c>
      <c r="E10" s="32">
        <f t="shared" si="0"/>
        <v>180.5</v>
      </c>
      <c r="F10" s="53">
        <f t="shared" si="1"/>
        <v>184</v>
      </c>
      <c r="G10" s="53">
        <v>7</v>
      </c>
      <c r="H10" s="31">
        <v>0</v>
      </c>
      <c r="I10" s="31">
        <v>0</v>
      </c>
      <c r="J10" s="31">
        <v>5.5</v>
      </c>
      <c r="K10" s="31">
        <v>0</v>
      </c>
      <c r="L10" s="31">
        <v>0</v>
      </c>
      <c r="M10" s="31">
        <v>0</v>
      </c>
      <c r="N10" s="31">
        <v>0</v>
      </c>
      <c r="O10" s="31">
        <v>0</v>
      </c>
      <c r="P10" s="31"/>
      <c r="Q10" s="31"/>
      <c r="R10" s="66">
        <v>0</v>
      </c>
      <c r="S10" s="32">
        <v>2</v>
      </c>
      <c r="T10" s="67">
        <v>32</v>
      </c>
      <c r="U10" s="67">
        <f t="shared" si="2"/>
        <v>28.5</v>
      </c>
      <c r="V10" s="67">
        <v>16</v>
      </c>
      <c r="W10" s="71">
        <v>0</v>
      </c>
    </row>
    <row r="11" s="20" customFormat="1" customHeight="1" spans="1:23">
      <c r="A11" s="31">
        <v>8</v>
      </c>
      <c r="B11" s="34" t="s">
        <v>33</v>
      </c>
      <c r="C11" s="32">
        <v>30</v>
      </c>
      <c r="D11" s="32">
        <v>200</v>
      </c>
      <c r="E11" s="32">
        <f t="shared" si="0"/>
        <v>196</v>
      </c>
      <c r="F11" s="53">
        <f t="shared" si="1"/>
        <v>200</v>
      </c>
      <c r="G11" s="53">
        <v>5</v>
      </c>
      <c r="H11" s="31">
        <v>0</v>
      </c>
      <c r="I11" s="31">
        <v>0</v>
      </c>
      <c r="J11" s="31">
        <v>4</v>
      </c>
      <c r="K11" s="31">
        <v>0</v>
      </c>
      <c r="L11" s="31">
        <v>0</v>
      </c>
      <c r="M11" s="31">
        <v>0</v>
      </c>
      <c r="N11" s="31">
        <v>0</v>
      </c>
      <c r="O11" s="31">
        <v>0</v>
      </c>
      <c r="P11" s="31"/>
      <c r="Q11" s="31"/>
      <c r="R11" s="66">
        <v>1</v>
      </c>
      <c r="S11" s="32">
        <v>0</v>
      </c>
      <c r="T11" s="67">
        <v>17.5</v>
      </c>
      <c r="U11" s="67">
        <f t="shared" si="2"/>
        <v>13.5</v>
      </c>
      <c r="V11" s="67">
        <f>W11-K11</f>
        <v>0</v>
      </c>
      <c r="W11" s="67">
        <v>0</v>
      </c>
    </row>
    <row r="12" customFormat="1" customHeight="1" spans="1:23">
      <c r="A12" s="31">
        <v>9</v>
      </c>
      <c r="B12" s="34" t="s">
        <v>34</v>
      </c>
      <c r="C12" s="32">
        <v>30</v>
      </c>
      <c r="D12" s="32">
        <v>200</v>
      </c>
      <c r="E12" s="32">
        <f t="shared" si="0"/>
        <v>168</v>
      </c>
      <c r="F12" s="53">
        <f t="shared" si="1"/>
        <v>200</v>
      </c>
      <c r="G12" s="53">
        <v>5</v>
      </c>
      <c r="H12" s="31">
        <v>0</v>
      </c>
      <c r="I12" s="31">
        <v>0</v>
      </c>
      <c r="J12" s="31">
        <v>24</v>
      </c>
      <c r="K12" s="31">
        <v>8</v>
      </c>
      <c r="L12" s="31">
        <v>0</v>
      </c>
      <c r="M12" s="31">
        <v>0</v>
      </c>
      <c r="N12" s="31">
        <v>0</v>
      </c>
      <c r="O12" s="31">
        <v>0</v>
      </c>
      <c r="P12" s="31"/>
      <c r="Q12" s="31"/>
      <c r="R12" s="66">
        <v>0</v>
      </c>
      <c r="S12" s="32">
        <v>0</v>
      </c>
      <c r="T12" s="67">
        <v>27</v>
      </c>
      <c r="U12" s="67">
        <f t="shared" si="2"/>
        <v>3</v>
      </c>
      <c r="V12" s="67">
        <f t="shared" ref="V12:V31" si="3">W12-K12</f>
        <v>32</v>
      </c>
      <c r="W12" s="67">
        <v>40</v>
      </c>
    </row>
    <row r="13" s="20" customFormat="1" customHeight="1" spans="1:23">
      <c r="A13" s="31">
        <v>10</v>
      </c>
      <c r="B13" s="33" t="s">
        <v>35</v>
      </c>
      <c r="C13" s="32">
        <v>30</v>
      </c>
      <c r="D13" s="32">
        <v>200</v>
      </c>
      <c r="E13" s="32">
        <f t="shared" si="0"/>
        <v>184</v>
      </c>
      <c r="F13" s="53">
        <f t="shared" si="1"/>
        <v>200</v>
      </c>
      <c r="G13" s="53">
        <v>5</v>
      </c>
      <c r="H13" s="31">
        <v>0</v>
      </c>
      <c r="I13" s="31">
        <v>0</v>
      </c>
      <c r="J13" s="24">
        <v>0</v>
      </c>
      <c r="K13" s="31">
        <v>16</v>
      </c>
      <c r="L13" s="31">
        <v>0</v>
      </c>
      <c r="M13" s="31">
        <v>0</v>
      </c>
      <c r="N13" s="31">
        <v>0</v>
      </c>
      <c r="O13" s="31">
        <v>0</v>
      </c>
      <c r="P13" s="31"/>
      <c r="Q13" s="31"/>
      <c r="R13" s="66">
        <v>0</v>
      </c>
      <c r="S13" s="32">
        <v>0</v>
      </c>
      <c r="T13" s="67">
        <v>4</v>
      </c>
      <c r="U13" s="67">
        <f t="shared" si="2"/>
        <v>4</v>
      </c>
      <c r="V13" s="67">
        <f t="shared" si="3"/>
        <v>16</v>
      </c>
      <c r="W13" s="67">
        <v>32</v>
      </c>
    </row>
    <row r="14" s="20" customFormat="1" customHeight="1" spans="1:23">
      <c r="A14" s="31">
        <v>11</v>
      </c>
      <c r="B14" s="33" t="s">
        <v>36</v>
      </c>
      <c r="C14" s="32">
        <v>30</v>
      </c>
      <c r="D14" s="32">
        <v>200</v>
      </c>
      <c r="E14" s="32">
        <f t="shared" si="0"/>
        <v>192</v>
      </c>
      <c r="F14" s="53">
        <f t="shared" si="1"/>
        <v>200</v>
      </c>
      <c r="G14" s="53">
        <v>5</v>
      </c>
      <c r="H14" s="31">
        <v>0</v>
      </c>
      <c r="I14" s="31">
        <v>0</v>
      </c>
      <c r="J14" s="31">
        <v>0</v>
      </c>
      <c r="K14" s="31">
        <v>8</v>
      </c>
      <c r="L14" s="31">
        <v>0</v>
      </c>
      <c r="M14" s="31">
        <v>0</v>
      </c>
      <c r="N14" s="31">
        <v>0</v>
      </c>
      <c r="O14" s="31">
        <v>0</v>
      </c>
      <c r="P14" s="31"/>
      <c r="Q14" s="31"/>
      <c r="R14" s="66">
        <v>0</v>
      </c>
      <c r="S14" s="32">
        <v>0</v>
      </c>
      <c r="T14" s="67">
        <v>0</v>
      </c>
      <c r="U14" s="67">
        <f t="shared" si="2"/>
        <v>0</v>
      </c>
      <c r="V14" s="67">
        <f t="shared" si="3"/>
        <v>24</v>
      </c>
      <c r="W14" s="67">
        <v>32</v>
      </c>
    </row>
    <row r="15" s="20" customFormat="1" customHeight="1" spans="1:23">
      <c r="A15" s="31">
        <v>12</v>
      </c>
      <c r="B15" s="33" t="s">
        <v>37</v>
      </c>
      <c r="C15" s="32">
        <v>30</v>
      </c>
      <c r="D15" s="32">
        <v>184</v>
      </c>
      <c r="E15" s="32">
        <f t="shared" si="0"/>
        <v>184</v>
      </c>
      <c r="F15" s="53">
        <f t="shared" si="1"/>
        <v>184</v>
      </c>
      <c r="G15" s="53">
        <v>7</v>
      </c>
      <c r="H15" s="31">
        <v>0</v>
      </c>
      <c r="I15" s="31">
        <v>0</v>
      </c>
      <c r="J15" s="31">
        <v>0</v>
      </c>
      <c r="K15" s="31">
        <v>0</v>
      </c>
      <c r="L15" s="31">
        <v>0</v>
      </c>
      <c r="M15" s="31">
        <v>0</v>
      </c>
      <c r="N15" s="31">
        <v>0</v>
      </c>
      <c r="O15" s="31">
        <v>0</v>
      </c>
      <c r="P15" s="31"/>
      <c r="Q15" s="31"/>
      <c r="R15" s="66">
        <v>0</v>
      </c>
      <c r="S15" s="32">
        <v>0</v>
      </c>
      <c r="T15" s="67">
        <v>0</v>
      </c>
      <c r="U15" s="67">
        <f t="shared" si="2"/>
        <v>0</v>
      </c>
      <c r="V15" s="67">
        <f t="shared" si="3"/>
        <v>24</v>
      </c>
      <c r="W15" s="67">
        <v>24</v>
      </c>
    </row>
    <row r="16" s="20" customFormat="1" customHeight="1" spans="1:23">
      <c r="A16" s="31">
        <v>13</v>
      </c>
      <c r="B16" s="31" t="s">
        <v>38</v>
      </c>
      <c r="C16" s="32">
        <v>30</v>
      </c>
      <c r="D16" s="32">
        <v>184</v>
      </c>
      <c r="E16" s="32">
        <f t="shared" si="0"/>
        <v>147</v>
      </c>
      <c r="F16" s="53">
        <f t="shared" si="1"/>
        <v>184</v>
      </c>
      <c r="G16" s="53">
        <v>7</v>
      </c>
      <c r="H16" s="31">
        <v>0</v>
      </c>
      <c r="I16" s="31">
        <v>0</v>
      </c>
      <c r="J16" s="31">
        <v>1</v>
      </c>
      <c r="K16" s="31">
        <v>36</v>
      </c>
      <c r="L16" s="31">
        <v>0</v>
      </c>
      <c r="M16" s="31">
        <v>0</v>
      </c>
      <c r="N16" s="31">
        <v>0</v>
      </c>
      <c r="O16" s="31">
        <v>0</v>
      </c>
      <c r="P16" s="31"/>
      <c r="Q16" s="31"/>
      <c r="R16" s="66">
        <v>0</v>
      </c>
      <c r="S16" s="32">
        <v>0</v>
      </c>
      <c r="T16" s="67">
        <v>43</v>
      </c>
      <c r="U16" s="67">
        <f t="shared" si="2"/>
        <v>42</v>
      </c>
      <c r="V16" s="67">
        <f t="shared" si="3"/>
        <v>0</v>
      </c>
      <c r="W16" s="67">
        <v>36</v>
      </c>
    </row>
    <row r="17" s="20" customFormat="1" customHeight="1" spans="1:23">
      <c r="A17" s="31">
        <v>14</v>
      </c>
      <c r="B17" s="32" t="s">
        <v>39</v>
      </c>
      <c r="C17" s="32">
        <v>30</v>
      </c>
      <c r="D17" s="32">
        <v>184</v>
      </c>
      <c r="E17" s="32">
        <f t="shared" si="0"/>
        <v>168</v>
      </c>
      <c r="F17" s="53">
        <f t="shared" si="1"/>
        <v>184</v>
      </c>
      <c r="G17" s="53">
        <v>7</v>
      </c>
      <c r="H17" s="31">
        <v>0</v>
      </c>
      <c r="I17" s="31">
        <v>0</v>
      </c>
      <c r="J17" s="31">
        <v>0</v>
      </c>
      <c r="K17" s="31">
        <v>16</v>
      </c>
      <c r="L17" s="31">
        <v>0</v>
      </c>
      <c r="M17" s="31">
        <v>0</v>
      </c>
      <c r="N17" s="31">
        <v>0</v>
      </c>
      <c r="O17" s="31">
        <v>0</v>
      </c>
      <c r="P17" s="31"/>
      <c r="Q17" s="31"/>
      <c r="R17" s="66">
        <v>0</v>
      </c>
      <c r="S17" s="32">
        <v>0</v>
      </c>
      <c r="T17" s="67">
        <v>16.5</v>
      </c>
      <c r="U17" s="67">
        <f t="shared" si="2"/>
        <v>16.5</v>
      </c>
      <c r="V17" s="67">
        <f t="shared" si="3"/>
        <v>4</v>
      </c>
      <c r="W17" s="67">
        <v>20</v>
      </c>
    </row>
    <row r="18" s="22" customFormat="1" ht="28" customHeight="1" spans="1:23">
      <c r="A18" s="31">
        <v>15</v>
      </c>
      <c r="B18" s="32" t="s">
        <v>40</v>
      </c>
      <c r="C18" s="32">
        <v>30</v>
      </c>
      <c r="D18" s="32">
        <v>184</v>
      </c>
      <c r="E18" s="32">
        <f t="shared" si="0"/>
        <v>181</v>
      </c>
      <c r="F18" s="53">
        <f t="shared" si="1"/>
        <v>184</v>
      </c>
      <c r="G18" s="53">
        <v>7</v>
      </c>
      <c r="H18" s="31">
        <v>0</v>
      </c>
      <c r="I18" s="31">
        <v>0</v>
      </c>
      <c r="J18" s="31">
        <v>3</v>
      </c>
      <c r="K18" s="31">
        <v>0</v>
      </c>
      <c r="L18" s="31">
        <v>0</v>
      </c>
      <c r="M18" s="31">
        <v>0</v>
      </c>
      <c r="N18" s="31">
        <v>0</v>
      </c>
      <c r="O18" s="31">
        <v>0</v>
      </c>
      <c r="P18" s="31"/>
      <c r="Q18" s="31"/>
      <c r="R18" s="66">
        <v>0</v>
      </c>
      <c r="S18" s="32">
        <v>0</v>
      </c>
      <c r="T18" s="67">
        <v>199.5</v>
      </c>
      <c r="U18" s="67">
        <f t="shared" si="2"/>
        <v>196.5</v>
      </c>
      <c r="V18" s="67">
        <f t="shared" si="3"/>
        <v>8</v>
      </c>
      <c r="W18" s="67">
        <v>8</v>
      </c>
    </row>
    <row r="19" s="20" customFormat="1" customHeight="1" spans="1:23">
      <c r="A19" s="31">
        <v>16</v>
      </c>
      <c r="B19" s="31" t="s">
        <v>41</v>
      </c>
      <c r="C19" s="32">
        <v>30</v>
      </c>
      <c r="D19" s="32">
        <v>184</v>
      </c>
      <c r="E19" s="32">
        <f t="shared" si="0"/>
        <v>181</v>
      </c>
      <c r="F19" s="53">
        <f t="shared" si="1"/>
        <v>184</v>
      </c>
      <c r="G19" s="53">
        <v>7</v>
      </c>
      <c r="H19" s="31">
        <v>0</v>
      </c>
      <c r="I19" s="31">
        <v>0</v>
      </c>
      <c r="J19" s="31">
        <v>3</v>
      </c>
      <c r="K19" s="31">
        <v>0</v>
      </c>
      <c r="L19" s="31">
        <v>0</v>
      </c>
      <c r="M19" s="31">
        <v>0</v>
      </c>
      <c r="N19" s="31">
        <v>0</v>
      </c>
      <c r="O19" s="31">
        <v>0</v>
      </c>
      <c r="P19" s="31"/>
      <c r="Q19" s="31"/>
      <c r="R19" s="66">
        <v>0</v>
      </c>
      <c r="S19" s="32">
        <v>0</v>
      </c>
      <c r="T19" s="67">
        <v>4</v>
      </c>
      <c r="U19" s="67">
        <f t="shared" si="2"/>
        <v>1</v>
      </c>
      <c r="V19" s="67">
        <f t="shared" si="3"/>
        <v>0</v>
      </c>
      <c r="W19" s="67">
        <v>0</v>
      </c>
    </row>
    <row r="20" s="20" customFormat="1" customHeight="1" spans="1:23">
      <c r="A20" s="31">
        <v>17</v>
      </c>
      <c r="B20" s="31" t="s">
        <v>42</v>
      </c>
      <c r="C20" s="32">
        <v>30</v>
      </c>
      <c r="D20" s="32">
        <v>184</v>
      </c>
      <c r="E20" s="32">
        <f t="shared" si="0"/>
        <v>174.5</v>
      </c>
      <c r="F20" s="53">
        <f t="shared" si="1"/>
        <v>184</v>
      </c>
      <c r="G20" s="53">
        <v>7</v>
      </c>
      <c r="H20" s="31">
        <v>0</v>
      </c>
      <c r="I20" s="31">
        <v>0</v>
      </c>
      <c r="J20" s="31">
        <v>1.5</v>
      </c>
      <c r="K20" s="31">
        <v>8</v>
      </c>
      <c r="L20" s="31">
        <v>0</v>
      </c>
      <c r="M20" s="31">
        <v>0</v>
      </c>
      <c r="N20" s="31">
        <v>0</v>
      </c>
      <c r="O20" s="31">
        <v>0</v>
      </c>
      <c r="P20" s="31"/>
      <c r="Q20" s="31"/>
      <c r="R20" s="66">
        <v>0</v>
      </c>
      <c r="S20" s="32">
        <v>0</v>
      </c>
      <c r="T20" s="67">
        <v>19</v>
      </c>
      <c r="U20" s="67">
        <f t="shared" si="2"/>
        <v>17.5</v>
      </c>
      <c r="V20" s="67">
        <f t="shared" si="3"/>
        <v>20</v>
      </c>
      <c r="W20" s="67">
        <v>28</v>
      </c>
    </row>
    <row r="21" s="20" customFormat="1" customHeight="1" spans="1:23">
      <c r="A21" s="31">
        <v>18</v>
      </c>
      <c r="B21" s="31" t="s">
        <v>43</v>
      </c>
      <c r="C21" s="32">
        <v>30</v>
      </c>
      <c r="D21" s="32">
        <v>184</v>
      </c>
      <c r="E21" s="32">
        <f t="shared" si="0"/>
        <v>176</v>
      </c>
      <c r="F21" s="53">
        <f t="shared" si="1"/>
        <v>184</v>
      </c>
      <c r="G21" s="53">
        <v>7</v>
      </c>
      <c r="H21" s="31">
        <v>0</v>
      </c>
      <c r="I21" s="31">
        <v>0</v>
      </c>
      <c r="J21" s="31">
        <v>0</v>
      </c>
      <c r="K21" s="31">
        <v>8</v>
      </c>
      <c r="L21" s="31">
        <v>0</v>
      </c>
      <c r="M21" s="31">
        <v>0</v>
      </c>
      <c r="N21" s="31">
        <v>0</v>
      </c>
      <c r="O21" s="31">
        <v>0</v>
      </c>
      <c r="P21" s="31"/>
      <c r="Q21" s="31"/>
      <c r="R21" s="66">
        <v>0</v>
      </c>
      <c r="S21" s="32">
        <v>0</v>
      </c>
      <c r="T21" s="67">
        <v>20</v>
      </c>
      <c r="U21" s="67">
        <f t="shared" si="2"/>
        <v>20</v>
      </c>
      <c r="V21" s="67">
        <f t="shared" si="3"/>
        <v>8</v>
      </c>
      <c r="W21" s="67">
        <v>16</v>
      </c>
    </row>
    <row r="22" s="22" customFormat="1" customHeight="1" spans="1:23">
      <c r="A22" s="31">
        <v>19</v>
      </c>
      <c r="B22" s="35" t="s">
        <v>44</v>
      </c>
      <c r="C22" s="32">
        <v>30</v>
      </c>
      <c r="D22" s="32">
        <v>184</v>
      </c>
      <c r="E22" s="32">
        <f t="shared" si="0"/>
        <v>176</v>
      </c>
      <c r="F22" s="53">
        <f t="shared" si="1"/>
        <v>184</v>
      </c>
      <c r="G22" s="53">
        <v>7</v>
      </c>
      <c r="H22" s="31">
        <v>0</v>
      </c>
      <c r="I22" s="31">
        <v>0</v>
      </c>
      <c r="J22" s="31">
        <v>8</v>
      </c>
      <c r="K22" s="31">
        <v>0</v>
      </c>
      <c r="L22" s="31">
        <v>0</v>
      </c>
      <c r="M22" s="31">
        <v>0</v>
      </c>
      <c r="N22" s="31">
        <v>0</v>
      </c>
      <c r="O22" s="31">
        <v>0</v>
      </c>
      <c r="P22" s="31"/>
      <c r="Q22" s="31"/>
      <c r="R22" s="66">
        <v>0</v>
      </c>
      <c r="S22" s="32">
        <v>0</v>
      </c>
      <c r="T22" s="67">
        <v>8</v>
      </c>
      <c r="U22" s="67">
        <f t="shared" si="2"/>
        <v>0</v>
      </c>
      <c r="V22" s="67">
        <f t="shared" si="3"/>
        <v>12</v>
      </c>
      <c r="W22" s="67">
        <v>12</v>
      </c>
    </row>
    <row r="23" s="20" customFormat="1" customHeight="1" spans="1:23">
      <c r="A23" s="31">
        <v>20</v>
      </c>
      <c r="B23" s="35" t="s">
        <v>45</v>
      </c>
      <c r="C23" s="32">
        <v>30</v>
      </c>
      <c r="D23" s="32">
        <v>184</v>
      </c>
      <c r="E23" s="32">
        <f t="shared" si="0"/>
        <v>187</v>
      </c>
      <c r="F23" s="53">
        <f t="shared" si="1"/>
        <v>184</v>
      </c>
      <c r="G23" s="53">
        <v>7</v>
      </c>
      <c r="H23" s="31">
        <v>0</v>
      </c>
      <c r="I23" s="31">
        <v>0</v>
      </c>
      <c r="J23" s="31">
        <v>8</v>
      </c>
      <c r="K23" s="31">
        <v>0</v>
      </c>
      <c r="L23" s="31">
        <v>0</v>
      </c>
      <c r="M23" s="31">
        <v>0</v>
      </c>
      <c r="N23" s="31">
        <v>0</v>
      </c>
      <c r="O23" s="31">
        <v>0</v>
      </c>
      <c r="P23" s="31"/>
      <c r="Q23" s="31"/>
      <c r="R23" s="66">
        <v>0</v>
      </c>
      <c r="S23" s="32">
        <v>11</v>
      </c>
      <c r="T23" s="67">
        <v>19</v>
      </c>
      <c r="U23" s="67">
        <f t="shared" si="2"/>
        <v>22</v>
      </c>
      <c r="V23" s="67">
        <f t="shared" si="3"/>
        <v>40</v>
      </c>
      <c r="W23" s="67">
        <v>40</v>
      </c>
    </row>
    <row r="24" s="22" customFormat="1" customHeight="1" spans="1:23">
      <c r="A24" s="31">
        <v>21</v>
      </c>
      <c r="B24" s="36" t="s">
        <v>46</v>
      </c>
      <c r="C24" s="32">
        <v>30</v>
      </c>
      <c r="D24" s="32">
        <v>184</v>
      </c>
      <c r="E24" s="32">
        <f t="shared" si="0"/>
        <v>196</v>
      </c>
      <c r="F24" s="53">
        <f t="shared" si="1"/>
        <v>184</v>
      </c>
      <c r="G24" s="53">
        <v>7</v>
      </c>
      <c r="H24" s="31">
        <v>0</v>
      </c>
      <c r="I24" s="31">
        <v>0</v>
      </c>
      <c r="J24" s="31">
        <v>4</v>
      </c>
      <c r="K24" s="31">
        <v>0</v>
      </c>
      <c r="L24" s="31">
        <v>0</v>
      </c>
      <c r="M24" s="31">
        <v>0</v>
      </c>
      <c r="N24" s="31">
        <v>0</v>
      </c>
      <c r="O24" s="31">
        <v>0</v>
      </c>
      <c r="P24" s="31"/>
      <c r="Q24" s="31"/>
      <c r="R24" s="66">
        <v>0</v>
      </c>
      <c r="S24" s="32">
        <v>16</v>
      </c>
      <c r="T24" s="67">
        <v>4.5</v>
      </c>
      <c r="U24" s="67">
        <f t="shared" si="2"/>
        <v>16.5</v>
      </c>
      <c r="V24" s="67">
        <f t="shared" si="3"/>
        <v>40</v>
      </c>
      <c r="W24" s="67">
        <v>40</v>
      </c>
    </row>
    <row r="25" s="23" customFormat="1" customHeight="1" spans="1:23">
      <c r="A25" s="31">
        <v>22</v>
      </c>
      <c r="B25" s="36" t="s">
        <v>47</v>
      </c>
      <c r="C25" s="32">
        <v>30</v>
      </c>
      <c r="D25" s="32">
        <v>200</v>
      </c>
      <c r="E25" s="32">
        <f t="shared" si="0"/>
        <v>186.5</v>
      </c>
      <c r="F25" s="53">
        <f t="shared" si="1"/>
        <v>200</v>
      </c>
      <c r="G25" s="53">
        <v>5</v>
      </c>
      <c r="H25" s="31">
        <v>0</v>
      </c>
      <c r="I25" s="31">
        <v>0</v>
      </c>
      <c r="J25" s="31">
        <v>13.5</v>
      </c>
      <c r="K25" s="31">
        <v>0</v>
      </c>
      <c r="L25" s="31">
        <v>0</v>
      </c>
      <c r="M25" s="31">
        <v>0</v>
      </c>
      <c r="N25" s="31">
        <v>0</v>
      </c>
      <c r="O25" s="31">
        <v>0</v>
      </c>
      <c r="P25" s="31"/>
      <c r="Q25" s="31"/>
      <c r="R25" s="66">
        <v>0</v>
      </c>
      <c r="S25" s="32">
        <v>0</v>
      </c>
      <c r="T25" s="67">
        <v>52</v>
      </c>
      <c r="U25" s="67">
        <f t="shared" si="2"/>
        <v>38.5</v>
      </c>
      <c r="V25" s="67">
        <f t="shared" si="3"/>
        <v>40</v>
      </c>
      <c r="W25" s="67">
        <v>40</v>
      </c>
    </row>
    <row r="26" s="22" customFormat="1" customHeight="1" spans="1:23">
      <c r="A26" s="31">
        <v>23</v>
      </c>
      <c r="B26" s="33" t="s">
        <v>48</v>
      </c>
      <c r="C26" s="32">
        <v>30</v>
      </c>
      <c r="D26" s="32">
        <v>200</v>
      </c>
      <c r="E26" s="32">
        <f t="shared" si="0"/>
        <v>192</v>
      </c>
      <c r="F26" s="53">
        <f t="shared" si="1"/>
        <v>200</v>
      </c>
      <c r="G26" s="53">
        <v>5</v>
      </c>
      <c r="H26" s="31">
        <v>0</v>
      </c>
      <c r="I26" s="31">
        <v>0</v>
      </c>
      <c r="J26" s="31">
        <v>0</v>
      </c>
      <c r="K26" s="31">
        <v>8</v>
      </c>
      <c r="L26" s="31">
        <v>0</v>
      </c>
      <c r="M26" s="31">
        <v>0</v>
      </c>
      <c r="N26" s="31">
        <v>0</v>
      </c>
      <c r="O26" s="31">
        <v>0</v>
      </c>
      <c r="P26" s="31"/>
      <c r="Q26" s="31"/>
      <c r="R26" s="66">
        <v>0</v>
      </c>
      <c r="S26" s="32">
        <v>0</v>
      </c>
      <c r="T26" s="67">
        <v>94.5</v>
      </c>
      <c r="U26" s="67">
        <f t="shared" si="2"/>
        <v>94.5</v>
      </c>
      <c r="V26" s="67">
        <f t="shared" si="3"/>
        <v>32</v>
      </c>
      <c r="W26" s="67">
        <v>40</v>
      </c>
    </row>
    <row r="27" s="22" customFormat="1" customHeight="1" spans="1:23">
      <c r="A27" s="31">
        <v>24</v>
      </c>
      <c r="B27" s="32" t="s">
        <v>49</v>
      </c>
      <c r="C27" s="32">
        <v>30</v>
      </c>
      <c r="D27" s="32">
        <v>200</v>
      </c>
      <c r="E27" s="32">
        <f t="shared" si="0"/>
        <v>184</v>
      </c>
      <c r="F27" s="53">
        <f t="shared" si="1"/>
        <v>200</v>
      </c>
      <c r="G27" s="53">
        <v>5</v>
      </c>
      <c r="H27" s="31">
        <v>0</v>
      </c>
      <c r="I27" s="31">
        <v>0</v>
      </c>
      <c r="J27" s="31">
        <v>16</v>
      </c>
      <c r="K27" s="31">
        <v>0</v>
      </c>
      <c r="L27" s="31">
        <v>0</v>
      </c>
      <c r="M27" s="31">
        <v>0</v>
      </c>
      <c r="N27" s="31">
        <v>0</v>
      </c>
      <c r="O27" s="31">
        <v>0</v>
      </c>
      <c r="P27" s="31"/>
      <c r="Q27" s="31"/>
      <c r="R27" s="66">
        <v>0</v>
      </c>
      <c r="S27" s="32">
        <v>0</v>
      </c>
      <c r="T27" s="67">
        <v>16</v>
      </c>
      <c r="U27" s="67">
        <f t="shared" si="2"/>
        <v>0</v>
      </c>
      <c r="V27" s="67">
        <f t="shared" si="3"/>
        <v>0</v>
      </c>
      <c r="W27" s="67">
        <v>0</v>
      </c>
    </row>
    <row r="28" s="20" customFormat="1" customHeight="1" spans="1:23">
      <c r="A28" s="31">
        <v>25</v>
      </c>
      <c r="B28" s="31" t="s">
        <v>50</v>
      </c>
      <c r="C28" s="32">
        <v>30</v>
      </c>
      <c r="D28" s="32">
        <v>200</v>
      </c>
      <c r="E28" s="32">
        <f t="shared" si="0"/>
        <v>199</v>
      </c>
      <c r="F28" s="53">
        <f t="shared" si="1"/>
        <v>200</v>
      </c>
      <c r="G28" s="53">
        <v>5</v>
      </c>
      <c r="H28" s="31">
        <v>0</v>
      </c>
      <c r="I28" s="31">
        <v>0</v>
      </c>
      <c r="J28" s="31">
        <v>1</v>
      </c>
      <c r="K28" s="31">
        <v>0</v>
      </c>
      <c r="L28" s="31">
        <v>0</v>
      </c>
      <c r="M28" s="31">
        <v>0</v>
      </c>
      <c r="N28" s="31">
        <v>0</v>
      </c>
      <c r="O28" s="31">
        <v>0</v>
      </c>
      <c r="P28" s="31"/>
      <c r="Q28" s="31"/>
      <c r="R28" s="66">
        <v>0</v>
      </c>
      <c r="S28" s="32">
        <v>0</v>
      </c>
      <c r="T28" s="67">
        <v>44</v>
      </c>
      <c r="U28" s="67">
        <f t="shared" si="2"/>
        <v>43</v>
      </c>
      <c r="V28" s="67">
        <f t="shared" si="3"/>
        <v>0</v>
      </c>
      <c r="W28" s="67">
        <v>0</v>
      </c>
    </row>
    <row r="29" s="20" customFormat="1" customHeight="1" spans="1:23">
      <c r="A29" s="31">
        <v>26</v>
      </c>
      <c r="B29" s="37" t="s">
        <v>51</v>
      </c>
      <c r="C29" s="32">
        <v>30</v>
      </c>
      <c r="D29" s="32">
        <v>200</v>
      </c>
      <c r="E29" s="32">
        <f t="shared" si="0"/>
        <v>181</v>
      </c>
      <c r="F29" s="53">
        <f t="shared" si="1"/>
        <v>200</v>
      </c>
      <c r="G29" s="53">
        <v>5</v>
      </c>
      <c r="H29" s="31">
        <v>0</v>
      </c>
      <c r="I29" s="31">
        <v>16</v>
      </c>
      <c r="J29" s="31">
        <v>0</v>
      </c>
      <c r="K29" s="31">
        <v>4</v>
      </c>
      <c r="L29" s="31">
        <v>0</v>
      </c>
      <c r="M29" s="31">
        <v>0</v>
      </c>
      <c r="N29" s="31">
        <v>0</v>
      </c>
      <c r="O29" s="31">
        <v>0</v>
      </c>
      <c r="P29" s="31"/>
      <c r="Q29" s="31"/>
      <c r="R29" s="66">
        <v>0</v>
      </c>
      <c r="S29" s="32">
        <v>1</v>
      </c>
      <c r="T29" s="67">
        <v>1.5</v>
      </c>
      <c r="U29" s="67">
        <f t="shared" si="2"/>
        <v>2.5</v>
      </c>
      <c r="V29" s="67">
        <f t="shared" si="3"/>
        <v>28</v>
      </c>
      <c r="W29" s="67">
        <v>32</v>
      </c>
    </row>
    <row r="30" s="22" customFormat="1" customHeight="1" spans="1:23">
      <c r="A30" s="31">
        <v>27</v>
      </c>
      <c r="B30" s="32" t="s">
        <v>52</v>
      </c>
      <c r="C30" s="32">
        <v>30</v>
      </c>
      <c r="D30" s="32">
        <v>200</v>
      </c>
      <c r="E30" s="32">
        <f t="shared" si="0"/>
        <v>195.5</v>
      </c>
      <c r="F30" s="53">
        <f t="shared" si="1"/>
        <v>200</v>
      </c>
      <c r="G30" s="53">
        <v>5</v>
      </c>
      <c r="H30" s="31">
        <v>0</v>
      </c>
      <c r="I30" s="31">
        <v>0</v>
      </c>
      <c r="J30" s="31">
        <v>0.5</v>
      </c>
      <c r="K30" s="31">
        <v>4</v>
      </c>
      <c r="L30" s="31">
        <v>0</v>
      </c>
      <c r="M30" s="31">
        <v>0</v>
      </c>
      <c r="N30" s="31">
        <v>1</v>
      </c>
      <c r="O30" s="31">
        <v>0</v>
      </c>
      <c r="P30" s="31"/>
      <c r="Q30" s="31"/>
      <c r="R30" s="66">
        <v>0</v>
      </c>
      <c r="S30" s="32">
        <v>0</v>
      </c>
      <c r="T30" s="67">
        <v>60</v>
      </c>
      <c r="U30" s="67">
        <f t="shared" si="2"/>
        <v>59.5</v>
      </c>
      <c r="V30" s="67">
        <f t="shared" si="3"/>
        <v>28</v>
      </c>
      <c r="W30" s="67">
        <v>32</v>
      </c>
    </row>
    <row r="31" s="20" customFormat="1" customHeight="1" spans="1:23">
      <c r="A31" s="31">
        <v>28</v>
      </c>
      <c r="B31" s="38" t="s">
        <v>53</v>
      </c>
      <c r="C31" s="32">
        <v>30</v>
      </c>
      <c r="D31" s="32">
        <v>200</v>
      </c>
      <c r="E31" s="32">
        <f t="shared" si="0"/>
        <v>199</v>
      </c>
      <c r="F31" s="53">
        <f t="shared" si="1"/>
        <v>200</v>
      </c>
      <c r="G31" s="53">
        <v>5</v>
      </c>
      <c r="H31" s="31">
        <v>0</v>
      </c>
      <c r="I31" s="31">
        <v>0</v>
      </c>
      <c r="J31" s="31">
        <v>1</v>
      </c>
      <c r="K31" s="31">
        <v>0</v>
      </c>
      <c r="L31" s="31">
        <v>0</v>
      </c>
      <c r="M31" s="31">
        <v>0</v>
      </c>
      <c r="N31" s="31">
        <v>0</v>
      </c>
      <c r="O31" s="31">
        <v>0</v>
      </c>
      <c r="P31" s="31"/>
      <c r="Q31" s="31"/>
      <c r="R31" s="66">
        <v>0</v>
      </c>
      <c r="S31" s="32">
        <v>0</v>
      </c>
      <c r="T31" s="67">
        <v>37</v>
      </c>
      <c r="U31" s="67">
        <f t="shared" si="2"/>
        <v>36</v>
      </c>
      <c r="V31" s="67">
        <f t="shared" si="3"/>
        <v>0</v>
      </c>
      <c r="W31" s="67">
        <v>0</v>
      </c>
    </row>
    <row r="32" s="20" customFormat="1" ht="54" customHeight="1" spans="1:23">
      <c r="A32" s="39" t="s">
        <v>54</v>
      </c>
      <c r="B32" s="40" t="s">
        <v>55</v>
      </c>
      <c r="C32" s="41"/>
      <c r="D32" s="41"/>
      <c r="E32" s="41"/>
      <c r="F32" s="41"/>
      <c r="G32" s="41"/>
      <c r="H32" s="41"/>
      <c r="I32" s="41"/>
      <c r="J32" s="41"/>
      <c r="K32" s="41"/>
      <c r="L32" s="41"/>
      <c r="M32" s="41"/>
      <c r="N32" s="41"/>
      <c r="O32" s="41"/>
      <c r="P32" s="41"/>
      <c r="Q32" s="41"/>
      <c r="R32" s="41"/>
      <c r="S32" s="41"/>
      <c r="T32" s="68"/>
      <c r="U32" s="68"/>
      <c r="V32" s="68"/>
      <c r="W32" s="68"/>
    </row>
    <row r="33" s="20" customFormat="1" customHeight="1" spans="1:23">
      <c r="A33" s="42"/>
      <c r="B33" s="43"/>
      <c r="C33" s="43"/>
      <c r="D33" s="43"/>
      <c r="E33" s="43"/>
      <c r="F33" s="54"/>
      <c r="G33" s="54"/>
      <c r="H33" s="54"/>
      <c r="I33" s="54"/>
      <c r="J33" s="54"/>
      <c r="K33" s="54"/>
      <c r="L33" s="54"/>
      <c r="M33" s="54"/>
      <c r="N33" s="54"/>
      <c r="O33" s="54"/>
      <c r="P33" s="54"/>
      <c r="Q33" s="54"/>
      <c r="R33" s="54"/>
      <c r="S33" s="54"/>
      <c r="T33" s="63"/>
      <c r="U33" s="63"/>
      <c r="V33" s="63"/>
      <c r="W33" s="63"/>
    </row>
    <row r="34" s="20" customFormat="1" customHeight="1" spans="1:23">
      <c r="A34" s="44" t="s">
        <v>56</v>
      </c>
      <c r="B34" s="44"/>
      <c r="C34" s="44"/>
      <c r="D34" s="44"/>
      <c r="E34" s="44"/>
      <c r="F34" s="55"/>
      <c r="G34" s="55"/>
      <c r="H34" s="55"/>
      <c r="I34" s="55"/>
      <c r="J34" s="55"/>
      <c r="K34" s="55"/>
      <c r="L34" s="59"/>
      <c r="M34" s="59"/>
      <c r="N34" s="62"/>
      <c r="O34" s="62"/>
      <c r="P34" s="62"/>
      <c r="Q34" s="62"/>
      <c r="R34" s="55" t="s">
        <v>57</v>
      </c>
      <c r="S34" s="55"/>
      <c r="T34" s="63"/>
      <c r="U34" s="63"/>
      <c r="V34" s="63"/>
      <c r="W34" s="63"/>
    </row>
    <row r="35" customHeight="1" spans="1:23">
      <c r="A35" s="45"/>
      <c r="B35" s="45"/>
      <c r="C35" s="45"/>
      <c r="D35" s="45"/>
      <c r="E35" s="45"/>
      <c r="F35" s="56"/>
      <c r="G35" s="56"/>
      <c r="H35" s="56"/>
      <c r="I35" s="56"/>
      <c r="J35" s="56"/>
      <c r="K35" s="56"/>
      <c r="L35" s="56"/>
      <c r="M35" s="56"/>
      <c r="N35" s="56"/>
      <c r="O35" s="56"/>
      <c r="P35" s="56"/>
      <c r="Q35" s="56"/>
      <c r="R35" s="56"/>
      <c r="S35" s="56"/>
      <c r="T35" s="63"/>
      <c r="U35" s="63"/>
      <c r="V35" s="63"/>
      <c r="W35" s="63"/>
    </row>
    <row r="36" customHeight="1" spans="1:23">
      <c r="A36" s="45"/>
      <c r="B36" s="45"/>
      <c r="C36" s="45"/>
      <c r="D36" s="45"/>
      <c r="E36" s="45"/>
      <c r="F36" s="56"/>
      <c r="G36" s="56"/>
      <c r="H36" s="56"/>
      <c r="I36" s="56"/>
      <c r="J36" s="56"/>
      <c r="K36" s="56"/>
      <c r="L36" s="56"/>
      <c r="M36" s="56"/>
      <c r="N36" s="56"/>
      <c r="O36" s="56"/>
      <c r="P36" s="56"/>
      <c r="Q36" s="56"/>
      <c r="R36" s="56"/>
      <c r="S36" s="56"/>
      <c r="T36" s="63"/>
      <c r="U36" s="63"/>
      <c r="V36" s="63"/>
      <c r="W36" s="63"/>
    </row>
    <row r="37" customHeight="1" spans="1:23">
      <c r="A37" s="45"/>
      <c r="B37" s="45"/>
      <c r="C37" s="45"/>
      <c r="D37" s="45"/>
      <c r="E37" s="45"/>
      <c r="F37" s="56"/>
      <c r="G37" s="56"/>
      <c r="H37" s="56"/>
      <c r="I37" s="56"/>
      <c r="J37" s="56"/>
      <c r="K37" s="56"/>
      <c r="L37" s="56"/>
      <c r="M37" s="56"/>
      <c r="N37" s="56"/>
      <c r="O37" s="56"/>
      <c r="P37" s="56"/>
      <c r="Q37" s="56"/>
      <c r="R37" s="56"/>
      <c r="S37" s="56"/>
      <c r="T37" s="63"/>
      <c r="U37" s="63"/>
      <c r="V37" s="63"/>
      <c r="W37" s="63"/>
    </row>
    <row r="38" customHeight="1" spans="1:23">
      <c r="A38" s="45"/>
      <c r="B38" s="45"/>
      <c r="C38" s="45"/>
      <c r="D38" s="45"/>
      <c r="E38" s="45"/>
      <c r="F38" s="56"/>
      <c r="G38" s="56"/>
      <c r="H38" s="56"/>
      <c r="I38" s="56"/>
      <c r="J38" s="56"/>
      <c r="K38" s="56"/>
      <c r="L38" s="56"/>
      <c r="M38" s="56"/>
      <c r="N38" s="56"/>
      <c r="O38" s="56"/>
      <c r="P38" s="56"/>
      <c r="Q38" s="56"/>
      <c r="R38" s="56"/>
      <c r="S38" s="56"/>
      <c r="T38" s="63"/>
      <c r="U38" s="63"/>
      <c r="V38" s="63"/>
      <c r="W38" s="63"/>
    </row>
  </sheetData>
  <autoFilter ref="A4:S34">
    <extLst/>
  </autoFilter>
  <mergeCells count="25">
    <mergeCell ref="A1:S1"/>
    <mergeCell ref="H3:J3"/>
    <mergeCell ref="B32:S32"/>
    <mergeCell ref="A34:E34"/>
    <mergeCell ref="R34:S34"/>
    <mergeCell ref="A3:A4"/>
    <mergeCell ref="B3:B4"/>
    <mergeCell ref="C3:C4"/>
    <mergeCell ref="D3:D4"/>
    <mergeCell ref="E3:E4"/>
    <mergeCell ref="F3:F4"/>
    <mergeCell ref="G3:G4"/>
    <mergeCell ref="K3:K4"/>
    <mergeCell ref="L3:L4"/>
    <mergeCell ref="M3:M4"/>
    <mergeCell ref="N3:N4"/>
    <mergeCell ref="O3:O4"/>
    <mergeCell ref="P3:P4"/>
    <mergeCell ref="Q3:Q4"/>
    <mergeCell ref="R3:R4"/>
    <mergeCell ref="S3:S4"/>
    <mergeCell ref="T3:T4"/>
    <mergeCell ref="U3:U4"/>
    <mergeCell ref="V3:V4"/>
    <mergeCell ref="W3:W4"/>
  </mergeCells>
  <pageMargins left="0.118055555555556" right="0.0784722222222222" top="0.432638888888889" bottom="1" header="0.5" footer="0.5"/>
  <pageSetup paperSize="9" scale="76" orientation="portrait"/>
  <headerFooter/>
  <colBreaks count="1" manualBreakCount="1">
    <brk id="22"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5"/>
  <sheetViews>
    <sheetView zoomScale="90" zoomScaleNormal="90" workbookViewId="0">
      <selection activeCell="B5" sqref="B5"/>
    </sheetView>
  </sheetViews>
  <sheetFormatPr defaultColWidth="9" defaultRowHeight="25" customHeight="1" outlineLevelCol="6"/>
  <cols>
    <col min="1" max="1" width="5.875" style="1" customWidth="1"/>
    <col min="2" max="2" width="12.3365384615385" style="1" customWidth="1"/>
    <col min="3" max="3" width="8.75" style="1" customWidth="1"/>
    <col min="4" max="4" width="22.2211538461538" style="1" customWidth="1"/>
    <col min="5" max="5" width="14.5" style="1" customWidth="1"/>
    <col min="6" max="6" width="11.1346153846154" style="1" customWidth="1"/>
    <col min="7" max="7" width="9.75" style="1" customWidth="1"/>
    <col min="8" max="16384" width="9" style="1"/>
  </cols>
  <sheetData>
    <row r="1" s="1" customFormat="1" ht="33" customHeight="1" spans="1:7">
      <c r="A1" s="4" t="s">
        <v>58</v>
      </c>
      <c r="B1" s="4"/>
      <c r="C1" s="4"/>
      <c r="D1" s="4"/>
      <c r="E1" s="4"/>
      <c r="F1" s="4"/>
      <c r="G1" s="4"/>
    </row>
    <row r="2" s="2" customFormat="1" ht="21" customHeight="1" spans="1:7">
      <c r="A2" s="5" t="s">
        <v>3</v>
      </c>
      <c r="B2" s="5" t="s">
        <v>4</v>
      </c>
      <c r="C2" s="5" t="s">
        <v>59</v>
      </c>
      <c r="D2" s="5"/>
      <c r="E2" s="5"/>
      <c r="F2" s="5"/>
      <c r="G2" s="5"/>
    </row>
    <row r="3" s="3" customFormat="1" ht="38" customHeight="1" spans="1:7">
      <c r="A3" s="6">
        <v>1</v>
      </c>
      <c r="B3" s="6" t="s">
        <v>30</v>
      </c>
      <c r="C3" s="7" t="s">
        <v>60</v>
      </c>
      <c r="D3" s="7"/>
      <c r="E3" s="7"/>
      <c r="F3" s="7"/>
      <c r="G3" s="16"/>
    </row>
    <row r="4" s="3" customFormat="1" ht="35" customHeight="1" spans="1:7">
      <c r="A4" s="6">
        <v>2</v>
      </c>
      <c r="B4" s="6" t="s">
        <v>33</v>
      </c>
      <c r="C4" s="7" t="s">
        <v>61</v>
      </c>
      <c r="D4" s="7"/>
      <c r="E4" s="7"/>
      <c r="F4" s="7"/>
      <c r="G4" s="16"/>
    </row>
    <row r="5" s="3" customFormat="1" ht="104" customHeight="1" spans="1:7">
      <c r="A5" s="6">
        <v>3</v>
      </c>
      <c r="B5" s="6" t="s">
        <v>28</v>
      </c>
      <c r="C5" s="8" t="s">
        <v>62</v>
      </c>
      <c r="D5" s="9"/>
      <c r="E5" s="9"/>
      <c r="F5" s="9"/>
      <c r="G5" s="17"/>
    </row>
    <row r="6" s="3" customFormat="1" ht="48" customHeight="1" spans="1:7">
      <c r="A6" s="10" t="s">
        <v>63</v>
      </c>
      <c r="B6" s="11"/>
      <c r="C6" s="11"/>
      <c r="D6" s="11"/>
      <c r="E6" s="11"/>
      <c r="F6" s="11"/>
      <c r="G6" s="18"/>
    </row>
    <row r="7" s="1" customFormat="1" ht="51" customHeight="1" spans="1:7">
      <c r="A7" s="12" t="s">
        <v>64</v>
      </c>
      <c r="B7" s="13"/>
      <c r="C7" s="14"/>
      <c r="D7" s="14"/>
      <c r="E7" s="19"/>
      <c r="F7" s="19"/>
      <c r="G7" s="19"/>
    </row>
    <row r="8" s="1" customFormat="1" customHeight="1" spans="1:3">
      <c r="A8" s="15"/>
      <c r="B8" s="15"/>
      <c r="C8" s="15"/>
    </row>
    <row r="9" s="1" customFormat="1" customHeight="1" spans="1:3">
      <c r="A9" s="15"/>
      <c r="B9" s="15"/>
      <c r="C9" s="15"/>
    </row>
    <row r="10" s="1" customFormat="1" customHeight="1" spans="1:3">
      <c r="A10" s="15"/>
      <c r="B10" s="15"/>
      <c r="C10" s="15"/>
    </row>
    <row r="11" s="1" customFormat="1" customHeight="1" spans="1:3">
      <c r="A11" s="15"/>
      <c r="B11" s="15"/>
      <c r="C11" s="15"/>
    </row>
    <row r="12" s="1" customFormat="1" customHeight="1" spans="1:3">
      <c r="A12" s="15"/>
      <c r="B12" s="15"/>
      <c r="C12" s="15"/>
    </row>
    <row r="13" s="1" customFormat="1" customHeight="1" spans="1:3">
      <c r="A13" s="15"/>
      <c r="B13" s="15"/>
      <c r="C13" s="15"/>
    </row>
    <row r="14" s="1" customFormat="1" customHeight="1" spans="1:3">
      <c r="A14" s="15"/>
      <c r="B14" s="15"/>
      <c r="C14" s="15"/>
    </row>
    <row r="15" s="1" customFormat="1" customHeight="1" spans="1:3">
      <c r="A15" s="15"/>
      <c r="B15" s="15"/>
      <c r="C15" s="15"/>
    </row>
  </sheetData>
  <mergeCells count="7">
    <mergeCell ref="A1:G1"/>
    <mergeCell ref="C2:G2"/>
    <mergeCell ref="C3:G3"/>
    <mergeCell ref="C4:G4"/>
    <mergeCell ref="C5:G5"/>
    <mergeCell ref="A6:G6"/>
    <mergeCell ref="A7:G7"/>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6月</vt:lpstr>
      <vt:lpstr>6月异常打卡情况说明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朴特敏</cp:lastModifiedBy>
  <dcterms:created xsi:type="dcterms:W3CDTF">2026-01-09T14:46:00Z</dcterms:created>
  <dcterms:modified xsi:type="dcterms:W3CDTF">2026-07-14T22:42:19Z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24F626FEA6DB3ABB8247566A2194E7C3_43</vt:lpwstr>
  </property>
  <property fmtid="{D5CDD505-2E9C-101B-9397-08002B2CF9AE}" pid="3" name="KSOProductBuildVer">
    <vt:lpwstr>2052-6.6.0.8801</vt:lpwstr>
  </property>
  <property fmtid="{D5CDD505-2E9C-101B-9397-08002B2CF9AE}" pid="4" name="CalculationRule">
    <vt:i4>1</vt:i4>
  </property>
  <property fmtid="{D5CDD505-2E9C-101B-9397-08002B2CF9AE}" pid="5" name="KSOReadingLayout">
    <vt:bool>true</vt:bool>
  </property>
</Properties>
</file>