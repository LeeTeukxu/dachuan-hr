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1660" activeTab="1"/>
  </bookViews>
  <sheets>
    <sheet name="田野源味" sheetId="6" r:id="rId1"/>
    <sheet name="田野农谷" sheetId="7" r:id="rId2"/>
    <sheet name="Sheet1" sheetId="13" state="hidden" r:id="rId3"/>
    <sheet name="田野农谷 (2)" sheetId="12" state="hidden" r:id="rId4"/>
    <sheet name="离职人员" sheetId="8" r:id="rId5"/>
    <sheet name="众何、临时工" sheetId="9" r:id="rId6"/>
    <sheet name="源味离职" sheetId="10" r:id="rId7"/>
  </sheets>
  <definedNames>
    <definedName name="_xlnm._FilterDatabase" localSheetId="0" hidden="1">田野源味!$B$2:$BW$4</definedName>
    <definedName name="_xlnm._FilterDatabase" localSheetId="3" hidden="1">'田野农谷 (2)'!$A$1:$CB$101</definedName>
    <definedName name="_xlnm._FilterDatabase" localSheetId="4" hidden="1">离职人员!$A$52:$BX$83</definedName>
    <definedName name="_xlnm._FilterDatabase" localSheetId="1" hidden="1">田野农谷!$A$2:$CB$2</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Administrator</author>
  </authors>
  <commentList>
    <comment ref="B2" authorId="0">
      <text>
        <r>
          <rPr>
            <sz val="12"/>
            <rFont val="宋体"/>
            <charset val="134"/>
          </rPr>
          <t xml:space="preserve">增加区域码和法人码
如：xx—00-0000
</t>
        </r>
      </text>
    </comment>
    <comment ref="M2" authorId="0">
      <text>
        <r>
          <rPr>
            <sz val="9"/>
            <rFont val="宋体"/>
            <charset val="134"/>
          </rPr>
          <t xml:space="preserve">农业户口或城镇户口
</t>
        </r>
      </text>
    </comment>
    <comment ref="S2" authorId="0">
      <text>
        <r>
          <rPr>
            <sz val="9"/>
            <rFont val="宋体"/>
            <charset val="134"/>
          </rPr>
          <t xml:space="preserve">劳动用工或劳务用工
</t>
        </r>
      </text>
    </comment>
    <comment ref="V2" authorId="0">
      <text>
        <r>
          <rPr>
            <sz val="9"/>
            <rFont val="宋体"/>
            <charset val="134"/>
          </rPr>
          <t xml:space="preserve">固定月薪、日薪、时薪、计件
</t>
        </r>
      </text>
    </comment>
    <comment ref="W2" authorId="0">
      <text>
        <r>
          <rPr>
            <sz val="9"/>
            <rFont val="宋体"/>
            <charset val="134"/>
          </rPr>
          <t xml:space="preserve">如：总监、经理、主管、专员
</t>
        </r>
      </text>
    </comment>
    <comment ref="X2" authorId="0">
      <text>
        <r>
          <rPr>
            <sz val="9"/>
            <rFont val="宋体"/>
            <charset val="134"/>
          </rPr>
          <t xml:space="preserve">技术工资等级、岗位工资等级、职务工资等级
</t>
        </r>
      </text>
    </comment>
    <comment ref="Y2" authorId="0">
      <text>
        <r>
          <rPr>
            <sz val="9"/>
            <rFont val="宋体"/>
            <charset val="134"/>
          </rPr>
          <t xml:space="preserve">最近的一段工作经历
</t>
        </r>
      </text>
    </comment>
    <comment ref="AP2" authorId="0">
      <text>
        <r>
          <rPr>
            <sz val="9"/>
            <rFont val="宋体"/>
            <charset val="134"/>
          </rPr>
          <t xml:space="preserve">填一位直系亲属
</t>
        </r>
      </text>
    </comment>
    <comment ref="AX2" authorId="0">
      <text>
        <r>
          <rPr>
            <sz val="9"/>
            <rFont val="宋体"/>
            <charset val="134"/>
          </rPr>
          <t xml:space="preserve">按照最近一次的工作填写
</t>
        </r>
      </text>
    </comment>
    <comment ref="BD2" authorId="0">
      <text>
        <r>
          <rPr>
            <sz val="9"/>
            <rFont val="宋体"/>
            <charset val="134"/>
          </rPr>
          <t xml:space="preserve">自请辞职、解雇离职、符合劳动合同终止情形离职
</t>
        </r>
      </text>
    </comment>
    <comment ref="BN2" authorId="0">
      <text>
        <r>
          <rPr>
            <sz val="9"/>
            <rFont val="宋体"/>
            <charset val="134"/>
          </rPr>
          <t xml:space="preserve">城镇职工社会保险、城镇灵活就业社会保险、城镇居民社会保险、农村村民社会保险
</t>
        </r>
      </text>
    </comment>
    <comment ref="C3" authorId="1">
      <text>
        <r>
          <rPr>
            <sz val="9"/>
            <rFont val="宋体"/>
            <charset val="134"/>
          </rPr>
          <t>2018年9月3日入职湖北田野农谷生物科技有限公司试用叉车，2021年5月17内部调整至生产部试用生产主管
2023年10月1日从田野农谷转入田野源味</t>
        </r>
      </text>
    </comment>
    <comment ref="H3" authorId="1">
      <text>
        <r>
          <rPr>
            <b/>
            <sz val="9"/>
            <rFont val="宋体"/>
            <charset val="134"/>
          </rPr>
          <t>Administrator:</t>
        </r>
        <r>
          <rPr>
            <sz val="9"/>
            <rFont val="宋体"/>
            <charset val="134"/>
          </rPr>
          <t xml:space="preserve">
2023-10-1日调到源味</t>
        </r>
      </text>
    </comment>
  </commentList>
</comments>
</file>

<file path=xl/comments2.xml><?xml version="1.0" encoding="utf-8"?>
<comments xmlns="http://schemas.openxmlformats.org/spreadsheetml/2006/main">
  <authors>
    <author>Lenovo</author>
  </authors>
  <commentList>
    <comment ref="B2" authorId="0">
      <text>
        <r>
          <rPr>
            <sz val="12"/>
            <rFont val="宋体"/>
            <charset val="134"/>
          </rPr>
          <t xml:space="preserve">增加区域码和法人码
如：xx—00-0000
</t>
        </r>
      </text>
    </comment>
    <comment ref="M2" authorId="0">
      <text>
        <r>
          <rPr>
            <sz val="9"/>
            <rFont val="宋体"/>
            <charset val="134"/>
          </rPr>
          <t xml:space="preserve">农业户口或城镇户口
</t>
        </r>
      </text>
    </comment>
    <comment ref="S2" authorId="0">
      <text>
        <r>
          <rPr>
            <sz val="9"/>
            <rFont val="宋体"/>
            <charset val="134"/>
          </rPr>
          <t xml:space="preserve">劳动用工或劳务用工
</t>
        </r>
      </text>
    </comment>
    <comment ref="V2" authorId="0">
      <text>
        <r>
          <rPr>
            <sz val="9"/>
            <rFont val="宋体"/>
            <charset val="134"/>
          </rPr>
          <t xml:space="preserve">固定月薪、日薪、时薪、计件
</t>
        </r>
      </text>
    </comment>
    <comment ref="W2" authorId="0">
      <text>
        <r>
          <rPr>
            <sz val="9"/>
            <rFont val="宋体"/>
            <charset val="134"/>
          </rPr>
          <t xml:space="preserve">如：总监、经理、主管、专员
</t>
        </r>
      </text>
    </comment>
    <comment ref="X2" authorId="0">
      <text>
        <r>
          <rPr>
            <sz val="9"/>
            <rFont val="宋体"/>
            <charset val="134"/>
          </rPr>
          <t xml:space="preserve">技术工资等级、岗位工资等级、职务工资等级
</t>
        </r>
      </text>
    </comment>
    <comment ref="Y2" authorId="0">
      <text>
        <r>
          <rPr>
            <sz val="9"/>
            <rFont val="宋体"/>
            <charset val="134"/>
          </rPr>
          <t xml:space="preserve">最近的一段工作经历
</t>
        </r>
      </text>
    </comment>
    <comment ref="AP2" authorId="0">
      <text>
        <r>
          <rPr>
            <sz val="9"/>
            <rFont val="宋体"/>
            <charset val="134"/>
          </rPr>
          <t xml:space="preserve">填一位直系亲属
</t>
        </r>
      </text>
    </comment>
    <comment ref="AX2" authorId="0">
      <text>
        <r>
          <rPr>
            <sz val="9"/>
            <rFont val="宋体"/>
            <charset val="134"/>
          </rPr>
          <t xml:space="preserve">按照最近一次的工作填写
</t>
        </r>
      </text>
    </comment>
    <comment ref="BD2" authorId="0">
      <text>
        <r>
          <rPr>
            <sz val="9"/>
            <rFont val="宋体"/>
            <charset val="134"/>
          </rPr>
          <t xml:space="preserve">自请辞职、解雇离职、符合劳动合同终止情形离职
</t>
        </r>
      </text>
    </comment>
    <comment ref="BN2" authorId="0">
      <text>
        <r>
          <rPr>
            <sz val="9"/>
            <rFont val="宋体"/>
            <charset val="134"/>
          </rPr>
          <t xml:space="preserve">城镇职工社会保险、城镇灵活就业社会保险、城镇居民社会保险、农村村民社会保险
</t>
        </r>
      </text>
    </comment>
  </commentList>
</comments>
</file>

<file path=xl/comments3.xml><?xml version="1.0" encoding="utf-8"?>
<comments xmlns="http://schemas.openxmlformats.org/spreadsheetml/2006/main">
  <authors>
    <author>Lenovo</author>
    <author>zlx</author>
    <author>Administrator</author>
    <author>7426988</author>
  </authors>
  <commentList>
    <comment ref="B1" authorId="0">
      <text>
        <r>
          <rPr>
            <sz val="12"/>
            <rFont val="宋体"/>
            <charset val="134"/>
          </rPr>
          <t xml:space="preserve">增加区域码和法人码
如：xx—00-0000
</t>
        </r>
      </text>
    </comment>
    <comment ref="M1" authorId="0">
      <text>
        <r>
          <rPr>
            <sz val="9"/>
            <rFont val="宋体"/>
            <charset val="134"/>
          </rPr>
          <t xml:space="preserve">农业户口或城镇户口
</t>
        </r>
      </text>
    </comment>
    <comment ref="S1" authorId="0">
      <text>
        <r>
          <rPr>
            <sz val="9"/>
            <rFont val="宋体"/>
            <charset val="134"/>
          </rPr>
          <t xml:space="preserve">劳动用工或劳务用工
</t>
        </r>
      </text>
    </comment>
    <comment ref="V1" authorId="0">
      <text>
        <r>
          <rPr>
            <sz val="9"/>
            <rFont val="宋体"/>
            <charset val="134"/>
          </rPr>
          <t xml:space="preserve">固定月薪、日薪、时薪、计件
</t>
        </r>
      </text>
    </comment>
    <comment ref="W1" authorId="0">
      <text>
        <r>
          <rPr>
            <sz val="9"/>
            <rFont val="宋体"/>
            <charset val="134"/>
          </rPr>
          <t xml:space="preserve">如：总监、经理、主管、专员
</t>
        </r>
      </text>
    </comment>
    <comment ref="X1" authorId="0">
      <text>
        <r>
          <rPr>
            <sz val="9"/>
            <rFont val="宋体"/>
            <charset val="134"/>
          </rPr>
          <t xml:space="preserve">技术工资等级、岗位工资等级、职务工资等级
</t>
        </r>
      </text>
    </comment>
    <comment ref="Y1" authorId="0">
      <text>
        <r>
          <rPr>
            <sz val="9"/>
            <rFont val="宋体"/>
            <charset val="134"/>
          </rPr>
          <t xml:space="preserve">最近的一段工作经历
</t>
        </r>
      </text>
    </comment>
    <comment ref="AP1" authorId="0">
      <text>
        <r>
          <rPr>
            <sz val="9"/>
            <rFont val="宋体"/>
            <charset val="134"/>
          </rPr>
          <t xml:space="preserve">填一位直系亲属
</t>
        </r>
      </text>
    </comment>
    <comment ref="AX1" authorId="0">
      <text>
        <r>
          <rPr>
            <sz val="9"/>
            <rFont val="宋体"/>
            <charset val="134"/>
          </rPr>
          <t xml:space="preserve">按照最近一次的工作填写
</t>
        </r>
      </text>
    </comment>
    <comment ref="BD1" authorId="0">
      <text>
        <r>
          <rPr>
            <sz val="9"/>
            <rFont val="宋体"/>
            <charset val="134"/>
          </rPr>
          <t xml:space="preserve">自请辞职、解雇离职、符合劳动合同终止情形离职
</t>
        </r>
      </text>
    </comment>
    <comment ref="BN1" authorId="0">
      <text>
        <r>
          <rPr>
            <sz val="9"/>
            <rFont val="宋体"/>
            <charset val="134"/>
          </rPr>
          <t xml:space="preserve">城镇职工社会保险、城镇灵活就业社会保险、城镇居民社会保险、农村村民社会保险
</t>
        </r>
      </text>
    </comment>
    <comment ref="C2" authorId="1">
      <text>
        <r>
          <rPr>
            <sz val="9"/>
            <rFont val="宋体"/>
            <charset val="134"/>
          </rPr>
          <t xml:space="preserve">2015年11月16日入职湖北爱斯曼（司机）。
2016年11月转入田野农谷公司
</t>
        </r>
      </text>
    </comment>
    <comment ref="C3" authorId="2">
      <text>
        <r>
          <rPr>
            <b/>
            <sz val="9"/>
            <rFont val="宋体"/>
            <charset val="134"/>
          </rPr>
          <t>2</t>
        </r>
        <r>
          <rPr>
            <sz val="9"/>
            <rFont val="宋体"/>
            <charset val="134"/>
          </rPr>
          <t xml:space="preserve">019年2月26日入职湖北田野农谷公司
</t>
        </r>
      </text>
    </comment>
    <comment ref="C4" authorId="2">
      <text>
        <r>
          <rPr>
            <sz val="9"/>
            <rFont val="宋体"/>
            <charset val="134"/>
          </rPr>
          <t xml:space="preserve">2019年4月11入职田野农谷试用网管
</t>
        </r>
      </text>
    </comment>
    <comment ref="I5" authorId="2">
      <text>
        <r>
          <rPr>
            <b/>
            <sz val="9"/>
            <rFont val="宋体"/>
            <charset val="134"/>
          </rPr>
          <t>Administrator:</t>
        </r>
        <r>
          <rPr>
            <sz val="9"/>
            <rFont val="宋体"/>
            <charset val="134"/>
          </rPr>
          <t xml:space="preserve">
17607134317曾用号码，2025年2月变更为13257231992</t>
        </r>
      </text>
    </comment>
    <comment ref="C6" authorId="1">
      <text>
        <r>
          <rPr>
            <sz val="9"/>
            <rFont val="宋体"/>
            <charset val="134"/>
          </rPr>
          <t xml:space="preserve">2015年11月1日入职入职湖北爱斯曼（行政人事文员）。
2016年11月转入田野农谷公司
</t>
        </r>
      </text>
    </comment>
    <comment ref="C8" authorId="2">
      <text>
        <r>
          <rPr>
            <sz val="9"/>
            <rFont val="宋体"/>
            <charset val="134"/>
          </rPr>
          <t xml:space="preserve">2019年4月11日入职湖北田野公司
</t>
        </r>
      </text>
    </comment>
    <comment ref="C10" authorId="2">
      <text>
        <r>
          <rPr>
            <b/>
            <sz val="9"/>
            <rFont val="宋体"/>
            <charset val="134"/>
          </rPr>
          <t>2018年10月7日入职湖北田野农谷生物科技有限公司试用</t>
        </r>
        <r>
          <rPr>
            <sz val="9"/>
            <rFont val="宋体"/>
            <charset val="134"/>
          </rPr>
          <t xml:space="preserve">
</t>
        </r>
      </text>
    </comment>
    <comment ref="G10" authorId="2">
      <text>
        <r>
          <rPr>
            <b/>
            <sz val="9"/>
            <rFont val="宋体"/>
            <charset val="134"/>
          </rPr>
          <t>Administrator:</t>
        </r>
        <r>
          <rPr>
            <sz val="9"/>
            <rFont val="宋体"/>
            <charset val="134"/>
          </rPr>
          <t xml:space="preserve">
2023年1月1日任职财务主管</t>
        </r>
      </text>
    </comment>
    <comment ref="W10" authorId="2">
      <text>
        <r>
          <rPr>
            <b/>
            <sz val="9"/>
            <rFont val="宋体"/>
            <charset val="134"/>
          </rPr>
          <t>Administrator:</t>
        </r>
        <r>
          <rPr>
            <sz val="9"/>
            <rFont val="宋体"/>
            <charset val="134"/>
          </rPr>
          <t xml:space="preserve">
2025年3.14号晋升为财务副经理</t>
        </r>
      </text>
    </comment>
    <comment ref="C15" authorId="2">
      <text>
        <r>
          <rPr>
            <sz val="9"/>
            <rFont val="宋体"/>
            <charset val="134"/>
          </rPr>
          <t>2019年3月11日入职田野农谷公司试用统计，同年5月28日调入采购部</t>
        </r>
      </text>
    </comment>
    <comment ref="C19" authorId="1">
      <text>
        <r>
          <rPr>
            <sz val="9"/>
            <rFont val="宋体"/>
            <charset val="134"/>
          </rPr>
          <t>2015年11月1日入职爱斯曼（制冷）。
2017年4月转入田野农谷公司</t>
        </r>
      </text>
    </comment>
    <comment ref="C20" authorId="2">
      <text>
        <r>
          <rPr>
            <sz val="9"/>
            <rFont val="宋体"/>
            <charset val="134"/>
          </rPr>
          <t xml:space="preserve">2018年4月2日入职田野农谷生物科技有限公司试用仓库主管
</t>
        </r>
      </text>
    </comment>
    <comment ref="C21" authorId="2">
      <text>
        <r>
          <rPr>
            <sz val="9"/>
            <rFont val="宋体"/>
            <charset val="134"/>
          </rPr>
          <t>2019年3月25日入职湖北田野农谷</t>
        </r>
      </text>
    </comment>
    <comment ref="C22" authorId="2">
      <text>
        <r>
          <rPr>
            <sz val="9"/>
            <rFont val="宋体"/>
            <charset val="134"/>
          </rPr>
          <t xml:space="preserve">2019年6月3日入职湖北田野公司试用
</t>
        </r>
      </text>
    </comment>
    <comment ref="C24" authorId="2">
      <text>
        <r>
          <rPr>
            <sz val="9"/>
            <rFont val="宋体"/>
            <charset val="134"/>
          </rPr>
          <t xml:space="preserve">2019年11月1日入职湖北田野
</t>
        </r>
      </text>
    </comment>
    <comment ref="C35" authorId="3">
      <text>
        <r>
          <rPr>
            <sz val="9"/>
            <rFont val="宋体"/>
            <charset val="134"/>
          </rPr>
          <t xml:space="preserve">2016年1月11日入职爱斯曼（机修）。
2016年11月转入田野农谷公司
</t>
        </r>
      </text>
    </comment>
    <comment ref="C36" authorId="2">
      <text>
        <r>
          <rPr>
            <sz val="9"/>
            <rFont val="宋体"/>
            <charset val="134"/>
          </rPr>
          <t>2018年3月5日入职田野农谷公司
（试用技工）</t>
        </r>
      </text>
    </comment>
    <comment ref="C37" authorId="1">
      <text>
        <r>
          <rPr>
            <sz val="9"/>
            <rFont val="宋体"/>
            <charset val="134"/>
          </rPr>
          <t xml:space="preserve">2015年11月1日入职湖北爱斯曼公司（保安）。
2017年10月1日转入湖北田野农谷生物科技有限公司。
</t>
        </r>
      </text>
    </comment>
    <comment ref="C39" authorId="2">
      <text>
        <r>
          <rPr>
            <sz val="9"/>
            <rFont val="宋体"/>
            <charset val="134"/>
          </rPr>
          <t>2021年5月14日入职
.7月1日转正
2022年2月8日由生产部操作工调岗至工程部锅炉工</t>
        </r>
      </text>
    </comment>
    <comment ref="BL42" authorId="2">
      <text>
        <r>
          <rPr>
            <sz val="9"/>
            <rFont val="宋体"/>
            <charset val="134"/>
          </rPr>
          <t>6215581901000461461换卡于2022年10月</t>
        </r>
      </text>
    </comment>
    <comment ref="C44" authorId="2">
      <text>
        <r>
          <rPr>
            <sz val="9"/>
            <rFont val="宋体"/>
            <charset val="134"/>
          </rPr>
          <t xml:space="preserve">2020年4月1日入职
</t>
        </r>
      </text>
    </comment>
    <comment ref="G44" authorId="2">
      <text>
        <r>
          <rPr>
            <b/>
            <sz val="9"/>
            <rFont val="宋体"/>
            <charset val="134"/>
          </rPr>
          <t>2023年4月1日任命生产副经理</t>
        </r>
        <r>
          <rPr>
            <sz val="9"/>
            <rFont val="宋体"/>
            <charset val="134"/>
          </rPr>
          <t xml:space="preserve">
</t>
        </r>
      </text>
    </comment>
    <comment ref="I44" authorId="2">
      <text>
        <r>
          <rPr>
            <b/>
            <sz val="9"/>
            <rFont val="宋体"/>
            <charset val="134"/>
          </rPr>
          <t>曾用号码：</t>
        </r>
        <r>
          <rPr>
            <sz val="9"/>
            <rFont val="宋体"/>
            <charset val="134"/>
          </rPr>
          <t xml:space="preserve">
17671851617</t>
        </r>
      </text>
    </comment>
    <comment ref="C45" authorId="2">
      <text>
        <r>
          <rPr>
            <sz val="9"/>
            <rFont val="宋体"/>
            <charset val="134"/>
          </rPr>
          <t xml:space="preserve">2019年8月16日入职湖北田野公司试用生产统计
</t>
        </r>
      </text>
    </comment>
    <comment ref="C46" authorId="2">
      <text>
        <r>
          <rPr>
            <sz val="9"/>
            <rFont val="宋体"/>
            <charset val="134"/>
          </rPr>
          <t xml:space="preserve">2018年3月5日入职田野农谷公司（试用文员）
</t>
        </r>
      </text>
    </comment>
    <comment ref="BL46" authorId="2">
      <text>
        <r>
          <rPr>
            <b/>
            <sz val="9"/>
            <rFont val="宋体"/>
            <charset val="134"/>
          </rPr>
          <t>Administrator:</t>
        </r>
        <r>
          <rPr>
            <sz val="9"/>
            <rFont val="宋体"/>
            <charset val="134"/>
          </rPr>
          <t xml:space="preserve">
'曾用卡：6222021809006414620截止2022年8月</t>
        </r>
      </text>
    </comment>
    <comment ref="C47" authorId="2">
      <text>
        <r>
          <rPr>
            <sz val="9"/>
            <rFont val="宋体"/>
            <charset val="134"/>
          </rPr>
          <t xml:space="preserve">2018年5月21日入职湖北田野农谷生物科技有限公司
</t>
        </r>
      </text>
    </comment>
    <comment ref="C48" authorId="2">
      <text>
        <r>
          <rPr>
            <b/>
            <sz val="9"/>
            <rFont val="宋体"/>
            <charset val="134"/>
          </rPr>
          <t>2018年7月6日入职湖北田野农谷生物科技有限公司试用</t>
        </r>
      </text>
    </comment>
    <comment ref="C49" authorId="2">
      <text>
        <r>
          <rPr>
            <sz val="9"/>
            <rFont val="宋体"/>
            <charset val="134"/>
          </rPr>
          <t xml:space="preserve">2019年3月1日入职湖北田野农谷公司
</t>
        </r>
      </text>
    </comment>
    <comment ref="BL49" authorId="2">
      <text>
        <r>
          <rPr>
            <b/>
            <sz val="9"/>
            <rFont val="宋体"/>
            <charset val="134"/>
          </rPr>
          <t>Administrator:</t>
        </r>
        <r>
          <rPr>
            <sz val="9"/>
            <rFont val="宋体"/>
            <charset val="134"/>
          </rPr>
          <t xml:space="preserve">
621 225 320 200 290 3475曾用卡
2021年6月换卡号</t>
        </r>
      </text>
    </comment>
    <comment ref="C50" authorId="2">
      <text>
        <r>
          <rPr>
            <sz val="9"/>
            <rFont val="宋体"/>
            <charset val="134"/>
          </rPr>
          <t xml:space="preserve">2019年3月1日入职湖北田野农谷公司
</t>
        </r>
      </text>
    </comment>
    <comment ref="C51" authorId="2">
      <text>
        <r>
          <rPr>
            <sz val="9"/>
            <rFont val="宋体"/>
            <charset val="134"/>
          </rPr>
          <t xml:space="preserve">2019年2月26日入职湖北田野农谷公司
</t>
        </r>
      </text>
    </comment>
    <comment ref="I51" authorId="2">
      <text>
        <r>
          <rPr>
            <sz val="9"/>
            <rFont val="宋体"/>
            <charset val="134"/>
          </rPr>
          <t>15572492026陈爱蓉旧号码，9.14换</t>
        </r>
      </text>
    </comment>
    <comment ref="C52" authorId="2">
      <text>
        <r>
          <rPr>
            <sz val="9"/>
            <rFont val="宋体"/>
            <charset val="134"/>
          </rPr>
          <t xml:space="preserve">2019年5月6日入职湖北田野农谷公司试用
</t>
        </r>
      </text>
    </comment>
    <comment ref="C53" authorId="2">
      <text>
        <r>
          <rPr>
            <sz val="9"/>
            <rFont val="宋体"/>
            <charset val="134"/>
          </rPr>
          <t xml:space="preserve">2019年5月13日入职湖北田野公司试用
</t>
        </r>
      </text>
    </comment>
    <comment ref="C54" authorId="2">
      <text>
        <r>
          <rPr>
            <b/>
            <sz val="9"/>
            <rFont val="宋体"/>
            <charset val="134"/>
          </rPr>
          <t>2020年6月20日入职湖北田野</t>
        </r>
      </text>
    </comment>
    <comment ref="C55" authorId="2">
      <text>
        <r>
          <rPr>
            <b/>
            <sz val="9"/>
            <rFont val="宋体"/>
            <charset val="134"/>
          </rPr>
          <t>Admin2020年12月1日入职湖北田野公司</t>
        </r>
      </text>
    </comment>
    <comment ref="BL55" authorId="2">
      <text>
        <r>
          <rPr>
            <b/>
            <sz val="9"/>
            <rFont val="宋体"/>
            <charset val="134"/>
          </rPr>
          <t>Administrator:</t>
        </r>
        <r>
          <rPr>
            <sz val="9"/>
            <rFont val="宋体"/>
            <charset val="134"/>
          </rPr>
          <t xml:space="preserve">
6215581809006832074为曾用卡
2022年5月替换为6215581809007795791</t>
        </r>
      </text>
    </comment>
    <comment ref="C57" authorId="2">
      <text>
        <r>
          <rPr>
            <sz val="9"/>
            <rFont val="宋体"/>
            <charset val="134"/>
          </rPr>
          <t xml:space="preserve">2018年6月1日入职湖北田野农谷生物科技有限公司试用
</t>
        </r>
      </text>
    </comment>
    <comment ref="I57" authorId="2">
      <text>
        <r>
          <rPr>
            <b/>
            <sz val="9"/>
            <rFont val="宋体"/>
            <charset val="134"/>
          </rPr>
          <t xml:space="preserve">Administrator:
</t>
        </r>
        <r>
          <rPr>
            <sz val="9"/>
            <rFont val="宋体"/>
            <charset val="134"/>
          </rPr>
          <t xml:space="preserve">
曾用号码：18727625087</t>
        </r>
      </text>
    </comment>
    <comment ref="BL57" authorId="2">
      <text>
        <r>
          <rPr>
            <b/>
            <sz val="9"/>
            <rFont val="宋体"/>
            <charset val="134"/>
          </rPr>
          <t>Administrator:</t>
        </r>
        <r>
          <rPr>
            <sz val="9"/>
            <rFont val="宋体"/>
            <charset val="134"/>
          </rPr>
          <t xml:space="preserve">
6212261809005610947
曾用卡号2021年11月换卡</t>
        </r>
      </text>
    </comment>
    <comment ref="C58" authorId="2">
      <text>
        <r>
          <rPr>
            <b/>
            <sz val="9"/>
            <rFont val="宋体"/>
            <charset val="134"/>
          </rPr>
          <t>2021年3月11日入职，6月1日转正</t>
        </r>
        <r>
          <rPr>
            <sz val="9"/>
            <rFont val="宋体"/>
            <charset val="134"/>
          </rPr>
          <t xml:space="preserve">
</t>
        </r>
      </text>
    </comment>
    <comment ref="C59" authorId="2">
      <text>
        <r>
          <rPr>
            <sz val="9"/>
            <rFont val="宋体"/>
            <charset val="134"/>
          </rPr>
          <t>2021年4月13日入职
6月1日转正</t>
        </r>
      </text>
    </comment>
    <comment ref="C60" authorId="2">
      <text>
        <r>
          <rPr>
            <b/>
            <sz val="9"/>
            <rFont val="宋体"/>
            <charset val="134"/>
          </rPr>
          <t>2021年5月10日入职</t>
        </r>
      </text>
    </comment>
    <comment ref="C71" authorId="2">
      <text>
        <r>
          <rPr>
            <sz val="9"/>
            <rFont val="宋体"/>
            <charset val="134"/>
          </rPr>
          <t xml:space="preserve">2020年12月1日入职湖北田野公司
</t>
        </r>
        <r>
          <rPr>
            <sz val="12"/>
            <rFont val="宋体"/>
            <charset val="134"/>
          </rPr>
          <t>2023年7月28日从生产部转岗行政部任保洁员一职</t>
        </r>
      </text>
    </comment>
    <comment ref="C76" authorId="2">
      <text>
        <r>
          <rPr>
            <b/>
            <sz val="9"/>
            <rFont val="宋体"/>
            <charset val="134"/>
          </rPr>
          <t xml:space="preserve">2018年5月28日入职湖北田野农谷生物科技有限公司
</t>
        </r>
      </text>
    </comment>
    <comment ref="C77" authorId="3">
      <text>
        <r>
          <rPr>
            <sz val="9"/>
            <rFont val="宋体"/>
            <charset val="134"/>
          </rPr>
          <t>2016年2月24日入职爱斯曼（试用）。
2017年4月转入田野农谷公司</t>
        </r>
      </text>
    </comment>
    <comment ref="C78" authorId="2">
      <text>
        <r>
          <rPr>
            <b/>
            <sz val="9"/>
            <rFont val="宋体"/>
            <charset val="134"/>
          </rPr>
          <t>2020年9月17日入职湖北田野</t>
        </r>
      </text>
    </comment>
    <comment ref="C79" authorId="2">
      <text>
        <r>
          <rPr>
            <sz val="9"/>
            <rFont val="宋体"/>
            <charset val="134"/>
          </rPr>
          <t xml:space="preserve">2021年7月2日入职湖北田野
</t>
        </r>
      </text>
    </comment>
    <comment ref="C80" authorId="2">
      <text>
        <r>
          <rPr>
            <sz val="9"/>
            <rFont val="宋体"/>
            <charset val="134"/>
          </rPr>
          <t xml:space="preserve">2021年7月2日入职湖北田野
</t>
        </r>
      </text>
    </comment>
    <comment ref="G81" authorId="2">
      <text>
        <r>
          <rPr>
            <b/>
            <sz val="9"/>
            <rFont val="宋体"/>
            <charset val="134"/>
          </rPr>
          <t>Administrator:</t>
        </r>
        <r>
          <rPr>
            <sz val="9"/>
            <rFont val="宋体"/>
            <charset val="134"/>
          </rPr>
          <t xml:space="preserve">
2025年1月1日从质检员调整为质检主管
</t>
        </r>
      </text>
    </comment>
    <comment ref="AF81" authorId="2">
      <text>
        <r>
          <rPr>
            <sz val="9"/>
            <rFont val="宋体"/>
            <charset val="134"/>
          </rPr>
          <t xml:space="preserve">没提供学历证，说是丢失了
</t>
        </r>
      </text>
    </comment>
    <comment ref="H88" authorId="2">
      <text>
        <r>
          <rPr>
            <b/>
            <sz val="9"/>
            <rFont val="宋体"/>
            <charset val="134"/>
          </rPr>
          <t>Administrator:</t>
        </r>
        <r>
          <rPr>
            <sz val="9"/>
            <rFont val="宋体"/>
            <charset val="134"/>
          </rPr>
          <t xml:space="preserve">
实际入职为2025-2-11</t>
        </r>
      </text>
    </comment>
    <comment ref="H90" authorId="2">
      <text>
        <r>
          <rPr>
            <b/>
            <sz val="9"/>
            <rFont val="宋体"/>
            <charset val="134"/>
          </rPr>
          <t>Administrator:</t>
        </r>
        <r>
          <rPr>
            <sz val="9"/>
            <rFont val="宋体"/>
            <charset val="134"/>
          </rPr>
          <t xml:space="preserve">
实际入职为2025-2-17
</t>
        </r>
      </text>
    </comment>
    <comment ref="H91" authorId="2">
      <text>
        <r>
          <rPr>
            <b/>
            <sz val="9"/>
            <rFont val="宋体"/>
            <charset val="134"/>
          </rPr>
          <t>Administrator:</t>
        </r>
        <r>
          <rPr>
            <sz val="9"/>
            <rFont val="宋体"/>
            <charset val="134"/>
          </rPr>
          <t xml:space="preserve">
实际入职为2025-2-20</t>
        </r>
      </text>
    </comment>
    <comment ref="H93" authorId="2">
      <text>
        <r>
          <rPr>
            <b/>
            <sz val="9"/>
            <rFont val="宋体"/>
            <charset val="134"/>
          </rPr>
          <t>Administrator:</t>
        </r>
        <r>
          <rPr>
            <sz val="9"/>
            <rFont val="宋体"/>
            <charset val="134"/>
          </rPr>
          <t xml:space="preserve">
实际入职为2025-2-16
</t>
        </r>
      </text>
    </comment>
    <comment ref="H94" authorId="2">
      <text>
        <r>
          <rPr>
            <b/>
            <sz val="9"/>
            <rFont val="宋体"/>
            <charset val="134"/>
          </rPr>
          <t>Administrator:</t>
        </r>
        <r>
          <rPr>
            <sz val="9"/>
            <rFont val="宋体"/>
            <charset val="134"/>
          </rPr>
          <t xml:space="preserve">
实际入职为2025-2-25
</t>
        </r>
      </text>
    </comment>
    <comment ref="C98" authorId="2">
      <text>
        <r>
          <rPr>
            <sz val="9"/>
            <rFont val="宋体"/>
            <charset val="134"/>
          </rPr>
          <t xml:space="preserve">2020年6月1日入职湖北田野公司
</t>
        </r>
      </text>
    </comment>
  </commentList>
</comments>
</file>

<file path=xl/comments4.xml><?xml version="1.0" encoding="utf-8"?>
<comments xmlns="http://schemas.openxmlformats.org/spreadsheetml/2006/main">
  <authors>
    <author>Lenovo</author>
    <author>Administrator</author>
    <author>zlx</author>
    <author>lenovo</author>
    <author>PC</author>
  </authors>
  <commentList>
    <comment ref="B2" authorId="0">
      <text>
        <r>
          <rPr>
            <sz val="12"/>
            <rFont val="宋体"/>
            <charset val="134"/>
          </rPr>
          <t xml:space="preserve">增加区域码和法人码
如：xx—00-0000
</t>
        </r>
      </text>
    </comment>
    <comment ref="M2" authorId="0">
      <text>
        <r>
          <rPr>
            <sz val="9"/>
            <rFont val="宋体"/>
            <charset val="134"/>
          </rPr>
          <t xml:space="preserve">农业户口或城镇户口
</t>
        </r>
      </text>
    </comment>
    <comment ref="S2" authorId="0">
      <text>
        <r>
          <rPr>
            <sz val="9"/>
            <rFont val="宋体"/>
            <charset val="134"/>
          </rPr>
          <t xml:space="preserve">劳动用工或劳务用工
</t>
        </r>
      </text>
    </comment>
    <comment ref="V2" authorId="0">
      <text>
        <r>
          <rPr>
            <sz val="9"/>
            <rFont val="宋体"/>
            <charset val="134"/>
          </rPr>
          <t xml:space="preserve">固定月薪、日薪、时薪、计件
</t>
        </r>
      </text>
    </comment>
    <comment ref="W2" authorId="0">
      <text>
        <r>
          <rPr>
            <sz val="9"/>
            <rFont val="宋体"/>
            <charset val="134"/>
          </rPr>
          <t xml:space="preserve">如：总监、经理、主管、专员
</t>
        </r>
      </text>
    </comment>
    <comment ref="X2" authorId="0">
      <text>
        <r>
          <rPr>
            <sz val="9"/>
            <rFont val="宋体"/>
            <charset val="134"/>
          </rPr>
          <t xml:space="preserve">技术工资等级、岗位工资等级、职务工资等级
</t>
        </r>
      </text>
    </comment>
    <comment ref="Y2" authorId="0">
      <text>
        <r>
          <rPr>
            <sz val="9"/>
            <rFont val="宋体"/>
            <charset val="134"/>
          </rPr>
          <t xml:space="preserve">最近的一段工作经历
</t>
        </r>
      </text>
    </comment>
    <comment ref="AP2" authorId="0">
      <text>
        <r>
          <rPr>
            <sz val="9"/>
            <rFont val="宋体"/>
            <charset val="134"/>
          </rPr>
          <t xml:space="preserve">填一位直系亲属
</t>
        </r>
      </text>
    </comment>
    <comment ref="AX2" authorId="0">
      <text>
        <r>
          <rPr>
            <sz val="9"/>
            <rFont val="宋体"/>
            <charset val="134"/>
          </rPr>
          <t xml:space="preserve">按照最近一次的工作填写
</t>
        </r>
      </text>
    </comment>
    <comment ref="BD2" authorId="0">
      <text>
        <r>
          <rPr>
            <sz val="9"/>
            <rFont val="宋体"/>
            <charset val="134"/>
          </rPr>
          <t xml:space="preserve">自请辞职、解雇离职、符合劳动合同终止情形离职
</t>
        </r>
      </text>
    </comment>
    <comment ref="BN2" authorId="0">
      <text>
        <r>
          <rPr>
            <sz val="9"/>
            <rFont val="宋体"/>
            <charset val="134"/>
          </rPr>
          <t xml:space="preserve">城镇职工社会保险、城镇灵活就业社会保险、城镇居民社会保险、农村村民社会保险
</t>
        </r>
      </text>
    </comment>
    <comment ref="C4" authorId="1">
      <text>
        <r>
          <rPr>
            <sz val="9"/>
            <rFont val="宋体"/>
            <charset val="134"/>
          </rPr>
          <t xml:space="preserve">2017年8月29日入职田野农谷（食堂试用）。
</t>
        </r>
      </text>
    </comment>
    <comment ref="C5" authorId="2">
      <text>
        <r>
          <rPr>
            <sz val="9"/>
            <rFont val="宋体"/>
            <charset val="134"/>
          </rPr>
          <t>2015年11月1日入职湖北爱斯曼公司(保安队长)。
2017年10月1日转入湖北田野农谷生物科技有限公司。</t>
        </r>
      </text>
    </comment>
    <comment ref="C6" authorId="1">
      <text>
        <r>
          <rPr>
            <sz val="9"/>
            <rFont val="宋体"/>
            <charset val="134"/>
          </rPr>
          <t xml:space="preserve">2019年6月3日入职湖北田野公司试用
</t>
        </r>
      </text>
    </comment>
    <comment ref="I6" authorId="1">
      <text>
        <r>
          <rPr>
            <b/>
            <sz val="9"/>
            <rFont val="宋体"/>
            <charset val="134"/>
          </rPr>
          <t>Administrator:</t>
        </r>
        <r>
          <rPr>
            <sz val="9"/>
            <rFont val="宋体"/>
            <charset val="134"/>
          </rPr>
          <t xml:space="preserve">
15671846538于2023年5月23日变更为13986973613</t>
        </r>
      </text>
    </comment>
    <comment ref="C7" authorId="1">
      <text>
        <r>
          <rPr>
            <b/>
            <sz val="9"/>
            <rFont val="宋体"/>
            <charset val="134"/>
          </rPr>
          <t>2020年12月3日入职湖北田野公司试用</t>
        </r>
      </text>
    </comment>
    <comment ref="C8" authorId="3">
      <text>
        <r>
          <rPr>
            <sz val="9"/>
            <rFont val="宋体"/>
            <charset val="134"/>
          </rPr>
          <t>2016年4月11日入职爱斯曼试用（污水处理）。
2017年4月转入田野农谷公司</t>
        </r>
      </text>
    </comment>
    <comment ref="BL9" authorId="1">
      <text>
        <r>
          <rPr>
            <b/>
            <sz val="9"/>
            <rFont val="宋体"/>
            <charset val="134"/>
          </rPr>
          <t>Administrator:</t>
        </r>
        <r>
          <rPr>
            <sz val="9"/>
            <rFont val="宋体"/>
            <charset val="134"/>
          </rPr>
          <t xml:space="preserve">
6217211809003263657曾用卡，2023年5月换卡</t>
        </r>
      </text>
    </comment>
    <comment ref="C10" authorId="1">
      <text>
        <r>
          <rPr>
            <sz val="9"/>
            <rFont val="宋体"/>
            <charset val="134"/>
          </rPr>
          <t xml:space="preserve">2018年5月21日入职湖北田野农谷生物科技有限公司
</t>
        </r>
      </text>
    </comment>
    <comment ref="C23" authorId="1">
      <text>
        <r>
          <rPr>
            <sz val="9"/>
            <rFont val="宋体"/>
            <charset val="134"/>
          </rPr>
          <t xml:space="preserve">2018年3月5日入职田野农谷公司（试用电工）
</t>
        </r>
      </text>
    </comment>
    <comment ref="C24" authorId="4">
      <text>
        <r>
          <rPr>
            <sz val="9"/>
            <rFont val="宋体"/>
            <charset val="134"/>
          </rPr>
          <t>2015年3月12日入职，同年10月1日调入湖北爱斯曼。
2017年10月1日转入湖北田野农谷生物科技有限公司。</t>
        </r>
      </text>
    </comment>
    <comment ref="C28" authorId="1">
      <text>
        <r>
          <rPr>
            <sz val="9"/>
            <rFont val="宋体"/>
            <charset val="134"/>
          </rPr>
          <t xml:space="preserve">2019年5月30日入职湖北田野公司
</t>
        </r>
      </text>
    </comment>
    <comment ref="C29" authorId="1">
      <text>
        <r>
          <rPr>
            <sz val="9"/>
            <rFont val="宋体"/>
            <charset val="134"/>
          </rPr>
          <t xml:space="preserve">2018年5月2日入职田野农谷生物科技有限公司试用采购文员
</t>
        </r>
      </text>
    </comment>
    <comment ref="C35" authorId="1">
      <text>
        <r>
          <rPr>
            <b/>
            <sz val="9"/>
            <rFont val="宋体"/>
            <charset val="134"/>
          </rPr>
          <t>2018年9月10日入职湖北田野农谷生物科技有限公司</t>
        </r>
      </text>
    </comment>
    <comment ref="C37" authorId="4">
      <text>
        <r>
          <rPr>
            <sz val="9"/>
            <rFont val="宋体"/>
            <charset val="134"/>
          </rPr>
          <t xml:space="preserve">2015年10月1日入职湖北爱斯曼。
2016年11月转入田野农谷公司
</t>
        </r>
      </text>
    </comment>
    <comment ref="C40" authorId="1">
      <text>
        <r>
          <rPr>
            <sz val="9"/>
            <rFont val="宋体"/>
            <charset val="134"/>
          </rPr>
          <t>2016年9月1日入职田野创新股份有限公司，于2022年1月转入海南达川食品有限公司                     于2024年4月1日调至湖北田野农谷生物科技有限公司工作</t>
        </r>
      </text>
    </comment>
    <comment ref="C41" authorId="1">
      <text>
        <r>
          <rPr>
            <sz val="9"/>
            <rFont val="宋体"/>
            <charset val="134"/>
          </rPr>
          <t>2023年6月30日入职海南达川食品有限公司   于2024年4月1日调至湖北田野农谷生物科技工作</t>
        </r>
      </text>
    </comment>
    <comment ref="C43" authorId="1">
      <text>
        <r>
          <rPr>
            <sz val="9"/>
            <rFont val="宋体"/>
            <charset val="134"/>
          </rPr>
          <t xml:space="preserve">2019年6月3日入职湖北田野公司试用
</t>
        </r>
      </text>
    </comment>
    <comment ref="B52" authorId="0">
      <text>
        <r>
          <rPr>
            <sz val="12"/>
            <rFont val="宋体"/>
            <charset val="134"/>
          </rPr>
          <t xml:space="preserve">增加区域码和法人码
如：xx—00-0000
</t>
        </r>
      </text>
    </comment>
    <comment ref="M52" authorId="0">
      <text>
        <r>
          <rPr>
            <sz val="9"/>
            <rFont val="宋体"/>
            <charset val="134"/>
          </rPr>
          <t xml:space="preserve">农业户口或城镇户口
</t>
        </r>
      </text>
    </comment>
    <comment ref="S52" authorId="0">
      <text>
        <r>
          <rPr>
            <sz val="9"/>
            <rFont val="宋体"/>
            <charset val="134"/>
          </rPr>
          <t xml:space="preserve">劳动用工或劳务用工
</t>
        </r>
      </text>
    </comment>
    <comment ref="V52" authorId="0">
      <text>
        <r>
          <rPr>
            <sz val="9"/>
            <rFont val="宋体"/>
            <charset val="134"/>
          </rPr>
          <t xml:space="preserve">固定月薪、日薪、时薪、计件
</t>
        </r>
      </text>
    </comment>
    <comment ref="W52" authorId="0">
      <text>
        <r>
          <rPr>
            <sz val="9"/>
            <rFont val="宋体"/>
            <charset val="134"/>
          </rPr>
          <t xml:space="preserve">如：总监、经理、主管、专员
</t>
        </r>
      </text>
    </comment>
    <comment ref="X52" authorId="0">
      <text>
        <r>
          <rPr>
            <sz val="9"/>
            <rFont val="宋体"/>
            <charset val="134"/>
          </rPr>
          <t xml:space="preserve">技术工资等级、岗位工资等级、职务工资等级
</t>
        </r>
      </text>
    </comment>
    <comment ref="Y52" authorId="0">
      <text>
        <r>
          <rPr>
            <sz val="9"/>
            <rFont val="宋体"/>
            <charset val="134"/>
          </rPr>
          <t xml:space="preserve">最近的一段工作经历
</t>
        </r>
      </text>
    </comment>
    <comment ref="AP52" authorId="0">
      <text>
        <r>
          <rPr>
            <sz val="9"/>
            <rFont val="宋体"/>
            <charset val="134"/>
          </rPr>
          <t xml:space="preserve">填一位直系亲属
</t>
        </r>
      </text>
    </comment>
    <comment ref="AX52" authorId="0">
      <text>
        <r>
          <rPr>
            <sz val="9"/>
            <rFont val="宋体"/>
            <charset val="134"/>
          </rPr>
          <t xml:space="preserve">按照最近一次的工作填写
</t>
        </r>
      </text>
    </comment>
    <comment ref="BD52" authorId="0">
      <text>
        <r>
          <rPr>
            <sz val="9"/>
            <rFont val="宋体"/>
            <charset val="134"/>
          </rPr>
          <t xml:space="preserve">自请辞职、解雇离职、符合劳动合同终止情形离职
</t>
        </r>
      </text>
    </comment>
    <comment ref="BN52" authorId="0">
      <text>
        <r>
          <rPr>
            <sz val="9"/>
            <rFont val="宋体"/>
            <charset val="134"/>
          </rPr>
          <t xml:space="preserve">城镇职工社会保险、城镇灵活就业社会保险、城镇居民社会保险、农村村民社会保险
</t>
        </r>
      </text>
    </comment>
    <comment ref="BE59" authorId="1">
      <text>
        <r>
          <rPr>
            <b/>
            <sz val="9"/>
            <rFont val="宋体"/>
            <charset val="134"/>
          </rPr>
          <t>Administrator:</t>
        </r>
        <r>
          <rPr>
            <sz val="9"/>
            <rFont val="宋体"/>
            <charset val="134"/>
          </rPr>
          <t xml:space="preserve">
2025年2月1日转入宜昌公司</t>
        </r>
      </text>
    </comment>
    <comment ref="C61" authorId="1">
      <text>
        <r>
          <rPr>
            <sz val="9"/>
            <rFont val="宋体"/>
            <charset val="134"/>
          </rPr>
          <t>2018年3月5日入职田野农谷公司
（试用工程师）</t>
        </r>
      </text>
    </comment>
    <comment ref="C65" authorId="2">
      <text>
        <r>
          <rPr>
            <sz val="9"/>
            <rFont val="宋体"/>
            <charset val="134"/>
          </rPr>
          <t>2015年11月1日入职湖北爱斯曼公司。
2017年10月1日转入湖北田野农谷公司。</t>
        </r>
      </text>
    </comment>
    <comment ref="BK66" authorId="1">
      <text>
        <r>
          <rPr>
            <b/>
            <sz val="9"/>
            <rFont val="宋体"/>
            <charset val="134"/>
          </rPr>
          <t>Administrator:</t>
        </r>
        <r>
          <rPr>
            <sz val="9"/>
            <rFont val="宋体"/>
            <charset val="134"/>
          </rPr>
          <t xml:space="preserve">
422201197307123443变更为42092119771030342X</t>
        </r>
      </text>
    </comment>
    <comment ref="I71" authorId="1">
      <text>
        <r>
          <rPr>
            <b/>
            <sz val="9"/>
            <rFont val="宋体"/>
            <charset val="134"/>
          </rPr>
          <t>Administrator:</t>
        </r>
        <r>
          <rPr>
            <sz val="9"/>
            <rFont val="宋体"/>
            <charset val="134"/>
          </rPr>
          <t xml:space="preserve">
16620195877曾用手机号于2023年11月更改</t>
        </r>
      </text>
    </comment>
    <comment ref="H76" authorId="1">
      <text>
        <r>
          <rPr>
            <b/>
            <sz val="9"/>
            <rFont val="宋体"/>
            <charset val="134"/>
          </rPr>
          <t>Administrator:</t>
        </r>
        <r>
          <rPr>
            <sz val="9"/>
            <rFont val="宋体"/>
            <charset val="134"/>
          </rPr>
          <t xml:space="preserve">
2025年3.12日入职，2025年4.6个人原因离职，2025年4.9转岗污水处理</t>
        </r>
      </text>
    </comment>
    <comment ref="C80" authorId="2">
      <text>
        <r>
          <rPr>
            <sz val="9"/>
            <rFont val="宋体"/>
            <charset val="134"/>
          </rPr>
          <t xml:space="preserve">2015年11月1日入职入职湖北爱斯曼（行政人事文员）。
2016年11月转入田野农谷公司
</t>
        </r>
      </text>
    </comment>
    <comment ref="C83" authorId="1">
      <text>
        <r>
          <rPr>
            <sz val="9"/>
            <rFont val="宋体"/>
            <charset val="134"/>
          </rPr>
          <t xml:space="preserve">2021年7月2日入职湖北田野
</t>
        </r>
      </text>
    </comment>
    <comment ref="B86" authorId="0">
      <text>
        <r>
          <rPr>
            <sz val="12"/>
            <rFont val="宋体"/>
            <charset val="134"/>
          </rPr>
          <t xml:space="preserve">增加区域码和法人码
如：xx—00-0000
</t>
        </r>
      </text>
    </comment>
    <comment ref="M86" authorId="0">
      <text>
        <r>
          <rPr>
            <sz val="9"/>
            <rFont val="宋体"/>
            <charset val="134"/>
          </rPr>
          <t xml:space="preserve">农业户口或城镇户口
</t>
        </r>
      </text>
    </comment>
    <comment ref="S86" authorId="0">
      <text>
        <r>
          <rPr>
            <sz val="9"/>
            <rFont val="宋体"/>
            <charset val="134"/>
          </rPr>
          <t xml:space="preserve">劳动用工或劳务用工
</t>
        </r>
      </text>
    </comment>
    <comment ref="V86" authorId="0">
      <text>
        <r>
          <rPr>
            <sz val="9"/>
            <rFont val="宋体"/>
            <charset val="134"/>
          </rPr>
          <t xml:space="preserve">固定月薪、日薪、时薪、计件
</t>
        </r>
      </text>
    </comment>
    <comment ref="W86" authorId="0">
      <text>
        <r>
          <rPr>
            <sz val="9"/>
            <rFont val="宋体"/>
            <charset val="134"/>
          </rPr>
          <t xml:space="preserve">如：总监、经理、主管、专员
</t>
        </r>
      </text>
    </comment>
    <comment ref="X86" authorId="0">
      <text>
        <r>
          <rPr>
            <sz val="9"/>
            <rFont val="宋体"/>
            <charset val="134"/>
          </rPr>
          <t xml:space="preserve">技术工资等级、岗位工资等级、职务工资等级
</t>
        </r>
      </text>
    </comment>
    <comment ref="Y86" authorId="0">
      <text>
        <r>
          <rPr>
            <sz val="9"/>
            <rFont val="宋体"/>
            <charset val="134"/>
          </rPr>
          <t xml:space="preserve">最近的一段工作经历
</t>
        </r>
      </text>
    </comment>
    <comment ref="AP86" authorId="0">
      <text>
        <r>
          <rPr>
            <sz val="9"/>
            <rFont val="宋体"/>
            <charset val="134"/>
          </rPr>
          <t xml:space="preserve">填一位直系亲属
</t>
        </r>
      </text>
    </comment>
    <comment ref="AX86" authorId="0">
      <text>
        <r>
          <rPr>
            <sz val="9"/>
            <rFont val="宋体"/>
            <charset val="134"/>
          </rPr>
          <t xml:space="preserve">按照最近一次的工作填写
</t>
        </r>
      </text>
    </comment>
    <comment ref="BD86" authorId="0">
      <text>
        <r>
          <rPr>
            <sz val="9"/>
            <rFont val="宋体"/>
            <charset val="134"/>
          </rPr>
          <t xml:space="preserve">自请辞职、解雇离职、符合劳动合同终止情形离职
</t>
        </r>
      </text>
    </comment>
    <comment ref="BN86" authorId="0">
      <text>
        <r>
          <rPr>
            <sz val="9"/>
            <rFont val="宋体"/>
            <charset val="134"/>
          </rPr>
          <t xml:space="preserve">城镇职工社会保险、城镇灵活就业社会保险、城镇居民社会保险、农村村民社会保险
</t>
        </r>
      </text>
    </comment>
    <comment ref="I92" authorId="1">
      <text>
        <r>
          <rPr>
            <b/>
            <sz val="9"/>
            <rFont val="宋体"/>
            <charset val="134"/>
          </rPr>
          <t>Administrator:</t>
        </r>
        <r>
          <rPr>
            <sz val="9"/>
            <rFont val="宋体"/>
            <charset val="134"/>
          </rPr>
          <t xml:space="preserve">
17607134317曾用号码，2025年2月变更为13257231992</t>
        </r>
      </text>
    </comment>
    <comment ref="BE93" authorId="1">
      <text>
        <r>
          <rPr>
            <b/>
            <sz val="9"/>
            <rFont val="宋体"/>
            <charset val="134"/>
          </rPr>
          <t>Administrator:</t>
        </r>
        <r>
          <rPr>
            <sz val="9"/>
            <rFont val="宋体"/>
            <charset val="134"/>
          </rPr>
          <t xml:space="preserve">
5月未出勤。5月22日办理离职手续。</t>
        </r>
      </text>
    </comment>
    <comment ref="C94" authorId="1">
      <text>
        <r>
          <rPr>
            <sz val="9"/>
            <rFont val="宋体"/>
            <charset val="134"/>
          </rPr>
          <t xml:space="preserve">2020年6月1日入职湖北田野公司
</t>
        </r>
      </text>
    </comment>
  </commentList>
</comments>
</file>

<file path=xl/comments5.xml><?xml version="1.0" encoding="utf-8"?>
<comments xmlns="http://schemas.openxmlformats.org/spreadsheetml/2006/main">
  <authors>
    <author>Lenovo</author>
    <author>Administrator</author>
  </authors>
  <commentList>
    <comment ref="B2" authorId="0">
      <text>
        <r>
          <rPr>
            <sz val="12"/>
            <rFont val="宋体"/>
            <charset val="134"/>
          </rPr>
          <t xml:space="preserve">增加区域码和法人码
如：xx—00-0000
</t>
        </r>
      </text>
    </comment>
    <comment ref="M2" authorId="0">
      <text>
        <r>
          <rPr>
            <sz val="9"/>
            <rFont val="宋体"/>
            <charset val="134"/>
          </rPr>
          <t xml:space="preserve">农业户口或城镇户口
</t>
        </r>
      </text>
    </comment>
    <comment ref="S2" authorId="0">
      <text>
        <r>
          <rPr>
            <sz val="9"/>
            <rFont val="宋体"/>
            <charset val="134"/>
          </rPr>
          <t xml:space="preserve">劳动用工或劳务用工
</t>
        </r>
      </text>
    </comment>
    <comment ref="V2" authorId="0">
      <text>
        <r>
          <rPr>
            <sz val="9"/>
            <rFont val="宋体"/>
            <charset val="134"/>
          </rPr>
          <t xml:space="preserve">固定月薪、日薪、时薪、计件
</t>
        </r>
      </text>
    </comment>
    <comment ref="W2" authorId="0">
      <text>
        <r>
          <rPr>
            <sz val="9"/>
            <rFont val="宋体"/>
            <charset val="134"/>
          </rPr>
          <t xml:space="preserve">如：总监、经理、主管、专员
</t>
        </r>
      </text>
    </comment>
    <comment ref="X2" authorId="0">
      <text>
        <r>
          <rPr>
            <sz val="9"/>
            <rFont val="宋体"/>
            <charset val="134"/>
          </rPr>
          <t xml:space="preserve">技术工资等级、岗位工资等级、职务工资等级
</t>
        </r>
      </text>
    </comment>
    <comment ref="Y2" authorId="0">
      <text>
        <r>
          <rPr>
            <sz val="9"/>
            <rFont val="宋体"/>
            <charset val="134"/>
          </rPr>
          <t xml:space="preserve">最近的一段工作经历
</t>
        </r>
      </text>
    </comment>
    <comment ref="AP2" authorId="0">
      <text>
        <r>
          <rPr>
            <sz val="9"/>
            <rFont val="宋体"/>
            <charset val="134"/>
          </rPr>
          <t xml:space="preserve">填一位直系亲属
</t>
        </r>
      </text>
    </comment>
    <comment ref="AX2" authorId="0">
      <text>
        <r>
          <rPr>
            <sz val="9"/>
            <rFont val="宋体"/>
            <charset val="134"/>
          </rPr>
          <t xml:space="preserve">按照最近一次的工作填写
</t>
        </r>
      </text>
    </comment>
    <comment ref="BD2" authorId="0">
      <text>
        <r>
          <rPr>
            <sz val="9"/>
            <rFont val="宋体"/>
            <charset val="134"/>
          </rPr>
          <t xml:space="preserve">自请辞职、解雇离职、符合劳动合同终止情形离职
</t>
        </r>
      </text>
    </comment>
    <comment ref="BN2" authorId="0">
      <text>
        <r>
          <rPr>
            <sz val="9"/>
            <rFont val="宋体"/>
            <charset val="134"/>
          </rPr>
          <t xml:space="preserve">城镇职工社会保险、城镇灵活就业社会保险、城镇居民社会保险、农村村民社会保险
</t>
        </r>
      </text>
    </comment>
    <comment ref="C4" authorId="1">
      <text>
        <r>
          <rPr>
            <sz val="9"/>
            <rFont val="宋体"/>
            <charset val="134"/>
          </rPr>
          <t xml:space="preserve">
2020年10月31日入职湖北田野浓谷公司
2021年2月1日转正
2023年10月1日从田野农谷转入田野源味
</t>
        </r>
      </text>
    </comment>
    <comment ref="B10" authorId="0">
      <text>
        <r>
          <rPr>
            <sz val="12"/>
            <rFont val="宋体"/>
            <charset val="134"/>
          </rPr>
          <t xml:space="preserve">增加区域码和法人码
如：xx—00-0000
</t>
        </r>
      </text>
    </comment>
    <comment ref="M10" authorId="0">
      <text>
        <r>
          <rPr>
            <sz val="9"/>
            <rFont val="宋体"/>
            <charset val="134"/>
          </rPr>
          <t xml:space="preserve">农业户口或城镇户口
</t>
        </r>
      </text>
    </comment>
    <comment ref="S10" authorId="0">
      <text>
        <r>
          <rPr>
            <sz val="9"/>
            <rFont val="宋体"/>
            <charset val="134"/>
          </rPr>
          <t xml:space="preserve">劳动用工或劳务用工
</t>
        </r>
      </text>
    </comment>
    <comment ref="V10" authorId="0">
      <text>
        <r>
          <rPr>
            <sz val="9"/>
            <rFont val="宋体"/>
            <charset val="134"/>
          </rPr>
          <t xml:space="preserve">固定月薪、日薪、时薪、计件
</t>
        </r>
      </text>
    </comment>
    <comment ref="W10" authorId="0">
      <text>
        <r>
          <rPr>
            <sz val="9"/>
            <rFont val="宋体"/>
            <charset val="134"/>
          </rPr>
          <t xml:space="preserve">如：总监、经理、主管、专员
</t>
        </r>
      </text>
    </comment>
    <comment ref="X10" authorId="0">
      <text>
        <r>
          <rPr>
            <sz val="9"/>
            <rFont val="宋体"/>
            <charset val="134"/>
          </rPr>
          <t xml:space="preserve">技术工资等级、岗位工资等级、职务工资等级
</t>
        </r>
      </text>
    </comment>
    <comment ref="Y10" authorId="0">
      <text>
        <r>
          <rPr>
            <sz val="9"/>
            <rFont val="宋体"/>
            <charset val="134"/>
          </rPr>
          <t xml:space="preserve">最近的一段工作经历
</t>
        </r>
      </text>
    </comment>
    <comment ref="AP10" authorId="0">
      <text>
        <r>
          <rPr>
            <sz val="9"/>
            <rFont val="宋体"/>
            <charset val="134"/>
          </rPr>
          <t xml:space="preserve">填一位直系亲属
</t>
        </r>
      </text>
    </comment>
    <comment ref="AX10" authorId="0">
      <text>
        <r>
          <rPr>
            <sz val="9"/>
            <rFont val="宋体"/>
            <charset val="134"/>
          </rPr>
          <t xml:space="preserve">按照最近一次的工作填写
</t>
        </r>
      </text>
    </comment>
    <comment ref="BD10" authorId="0">
      <text>
        <r>
          <rPr>
            <sz val="9"/>
            <rFont val="宋体"/>
            <charset val="134"/>
          </rPr>
          <t xml:space="preserve">自请辞职、解雇离职、符合劳动合同终止情形离职
</t>
        </r>
      </text>
    </comment>
    <comment ref="BN10" authorId="0">
      <text>
        <r>
          <rPr>
            <sz val="9"/>
            <rFont val="宋体"/>
            <charset val="134"/>
          </rPr>
          <t xml:space="preserve">城镇职工社会保险、城镇灵活就业社会保险、城镇居民社会保险、农村村民社会保险
</t>
        </r>
      </text>
    </comment>
  </commentList>
</comments>
</file>

<file path=xl/sharedStrings.xml><?xml version="1.0" encoding="utf-8"?>
<sst xmlns="http://schemas.openxmlformats.org/spreadsheetml/2006/main" count="7610" uniqueCount="2358">
  <si>
    <t>基本信息</t>
  </si>
  <si>
    <t>薪酬福利</t>
  </si>
  <si>
    <t>工作经历</t>
  </si>
  <si>
    <t>教育经历</t>
  </si>
  <si>
    <t>家庭状况</t>
  </si>
  <si>
    <t>员工关系及其他</t>
  </si>
  <si>
    <t>修订/更新</t>
  </si>
  <si>
    <t>后勤</t>
  </si>
  <si>
    <t>序号</t>
  </si>
  <si>
    <t>工号</t>
  </si>
  <si>
    <t>姓名</t>
  </si>
  <si>
    <t>性别</t>
  </si>
  <si>
    <t>部门</t>
  </si>
  <si>
    <t>法人</t>
  </si>
  <si>
    <t>职位</t>
  </si>
  <si>
    <t>入职日期</t>
  </si>
  <si>
    <t>个人电话</t>
  </si>
  <si>
    <t>身份证号</t>
  </si>
  <si>
    <t>籍贯</t>
  </si>
  <si>
    <t>户籍地址</t>
  </si>
  <si>
    <t>户籍类型</t>
  </si>
  <si>
    <t>现居地址</t>
  </si>
  <si>
    <t>出生日期</t>
  </si>
  <si>
    <t>年龄</t>
  </si>
  <si>
    <t>工龄</t>
  </si>
  <si>
    <t>民族</t>
  </si>
  <si>
    <t>用工性质</t>
  </si>
  <si>
    <t>政治面貌</t>
  </si>
  <si>
    <t>工作地点</t>
  </si>
  <si>
    <t>薪资类别</t>
  </si>
  <si>
    <t>职务级别</t>
  </si>
  <si>
    <t>薪资等级</t>
  </si>
  <si>
    <t>工作单位</t>
  </si>
  <si>
    <t>开始日期</t>
  </si>
  <si>
    <t>结束日期</t>
  </si>
  <si>
    <t>工作岗位</t>
  </si>
  <si>
    <t>离职薪水</t>
  </si>
  <si>
    <t>证明人</t>
  </si>
  <si>
    <t>联系电话</t>
  </si>
  <si>
    <t>学历</t>
  </si>
  <si>
    <t>毕业学校</t>
  </si>
  <si>
    <t>专业</t>
  </si>
  <si>
    <t>职称</t>
  </si>
  <si>
    <t>职业资格/水平证书</t>
  </si>
  <si>
    <t>培训记录</t>
  </si>
  <si>
    <t>婚姻状况</t>
  </si>
  <si>
    <t>家庭住址</t>
  </si>
  <si>
    <t>家庭关系/称呼</t>
  </si>
  <si>
    <t>职业</t>
  </si>
  <si>
    <t>紧急联系人</t>
  </si>
  <si>
    <t>与本人关系</t>
  </si>
  <si>
    <t>电话号码</t>
  </si>
  <si>
    <t>劳动合同期限</t>
  </si>
  <si>
    <t>劳动合同次数</t>
  </si>
  <si>
    <t>开始时间</t>
  </si>
  <si>
    <t>结束时间</t>
  </si>
  <si>
    <t>招聘渠道</t>
  </si>
  <si>
    <t>介绍人</t>
  </si>
  <si>
    <t>离职类别</t>
  </si>
  <si>
    <t>离职日期</t>
  </si>
  <si>
    <t>离职原因（类别）</t>
  </si>
  <si>
    <t>QQ号码</t>
  </si>
  <si>
    <t>微信号</t>
  </si>
  <si>
    <t>修改人</t>
  </si>
  <si>
    <t>最后修改时间</t>
  </si>
  <si>
    <t>修改记录</t>
  </si>
  <si>
    <t>银行卡号</t>
  </si>
  <si>
    <t>社保地区</t>
  </si>
  <si>
    <t>社保类别</t>
  </si>
  <si>
    <t>社保开始月份</t>
  </si>
  <si>
    <t>社保号</t>
  </si>
  <si>
    <t>金融社保卡号</t>
  </si>
  <si>
    <t>公积金开始月份</t>
  </si>
  <si>
    <t>厂牌</t>
  </si>
  <si>
    <t>宿舍安排</t>
  </si>
  <si>
    <t>体检记录</t>
  </si>
  <si>
    <t>工衣发放</t>
  </si>
  <si>
    <t>劳保发放</t>
  </si>
  <si>
    <t>转正时间</t>
  </si>
  <si>
    <t>TYYW-104</t>
  </si>
  <si>
    <t>谷鹏</t>
  </si>
  <si>
    <t>生产部</t>
  </si>
  <si>
    <t>湖北田野源味生物科技有限责任公司</t>
  </si>
  <si>
    <t>生产主管</t>
  </si>
  <si>
    <t>420801199508284294</t>
  </si>
  <si>
    <t>湖北</t>
  </si>
  <si>
    <t>湖北省荆门市东宝区屈家岭管理区蔡垱分场回龙寺0025号118</t>
  </si>
  <si>
    <t>城镇户口</t>
  </si>
  <si>
    <t>汉</t>
  </si>
  <si>
    <t>劳动用工</t>
  </si>
  <si>
    <t>群众</t>
  </si>
  <si>
    <t>湖北公司</t>
  </si>
  <si>
    <t>固定月薪</t>
  </si>
  <si>
    <t xml:space="preserve">荆门梦宝贝儿童用品股份有限公司
</t>
  </si>
  <si>
    <t>叉车司机</t>
  </si>
  <si>
    <t>周文娟</t>
  </si>
  <si>
    <t>高中</t>
  </si>
  <si>
    <t>五三高中</t>
  </si>
  <si>
    <t>N2</t>
  </si>
  <si>
    <t>已婚</t>
  </si>
  <si>
    <t>父亲</t>
  </si>
  <si>
    <t>谷德华</t>
  </si>
  <si>
    <t>男</t>
  </si>
  <si>
    <t>农民</t>
  </si>
  <si>
    <t>夫妻</t>
  </si>
  <si>
    <t>2025/10/1-2026/9/30</t>
  </si>
  <si>
    <t>自己应聘</t>
  </si>
  <si>
    <t>a15872995842</t>
  </si>
  <si>
    <t>6212261809005692630</t>
  </si>
  <si>
    <t>屈家岭管理区</t>
  </si>
  <si>
    <t>城镇职工社会保险</t>
  </si>
  <si>
    <t>1套</t>
  </si>
  <si>
    <t>TYYW-412</t>
  </si>
  <si>
    <t>李娜</t>
  </si>
  <si>
    <t>包装</t>
  </si>
  <si>
    <t>420801198711214262</t>
  </si>
  <si>
    <t>湖北荆门</t>
  </si>
  <si>
    <t>湖北省荆门市东宝区屈家岭管理区畜牧分场月湖果林队0005号061</t>
  </si>
  <si>
    <t>湖北省荆门市东宝区屈家岭管理区锦绣天城</t>
  </si>
  <si>
    <t>湖北田野农谷</t>
  </si>
  <si>
    <t>2022.10</t>
  </si>
  <si>
    <t>操作工</t>
  </si>
  <si>
    <t>初中</t>
  </si>
  <si>
    <t>儿子</t>
  </si>
  <si>
    <t>梁李浩</t>
  </si>
  <si>
    <t>学生</t>
  </si>
  <si>
    <t>梁爽</t>
  </si>
  <si>
    <t>2026/5/1-2027/4/30</t>
  </si>
  <si>
    <t>熟人介绍</t>
  </si>
  <si>
    <t>6215581809007794661</t>
  </si>
  <si>
    <t>转正日期</t>
  </si>
  <si>
    <t>生日贺卡、蛋糕劵</t>
  </si>
  <si>
    <t>政治
面貌</t>
  </si>
  <si>
    <t>婚姻
状况</t>
  </si>
  <si>
    <t>劳动/劳务合同期限</t>
  </si>
  <si>
    <t>出生年</t>
  </si>
  <si>
    <t>月</t>
  </si>
  <si>
    <t>日</t>
  </si>
  <si>
    <t>计数项:姓名</t>
  </si>
  <si>
    <t>行政人力资源部</t>
  </si>
  <si>
    <t>总计</t>
  </si>
  <si>
    <t>转正</t>
  </si>
  <si>
    <t>TYNG-012</t>
  </si>
  <si>
    <t>张明</t>
  </si>
  <si>
    <t>湖北田野农谷生物科技有限公司</t>
  </si>
  <si>
    <t>行政副经理</t>
  </si>
  <si>
    <t>420801197801024038</t>
  </si>
  <si>
    <t>江苏</t>
  </si>
  <si>
    <t>湖北省荆门市东宝区屈家岭管理区建设南路16座02号</t>
  </si>
  <si>
    <t>农业户口</t>
  </si>
  <si>
    <t>党员</t>
  </si>
  <si>
    <t>经理</t>
  </si>
  <si>
    <t>湖北张湾仓储有限公司</t>
  </si>
  <si>
    <t>司机</t>
  </si>
  <si>
    <t>大专</t>
  </si>
  <si>
    <t>武汉大学高等院校</t>
  </si>
  <si>
    <t>行政管理</t>
  </si>
  <si>
    <t>安全生产管理员</t>
  </si>
  <si>
    <t>张耀前</t>
  </si>
  <si>
    <t>离退休人员</t>
  </si>
  <si>
    <t>喻艳</t>
  </si>
  <si>
    <t>2022/11/1-2025/10/31</t>
  </si>
  <si>
    <t>wxid_2976359763712</t>
  </si>
  <si>
    <t>6215581809004078993</t>
  </si>
  <si>
    <t>2024/9</t>
  </si>
  <si>
    <t>TYNG-110</t>
  </si>
  <si>
    <t>吴晓霞</t>
  </si>
  <si>
    <t>行政文员</t>
  </si>
  <si>
    <t>429006198801180445</t>
  </si>
  <si>
    <t>湖北天门</t>
  </si>
  <si>
    <t>湖北省荆门市屈家岭管理区畜牧分场梭灯队0019号100</t>
  </si>
  <si>
    <t>湖北省荆门市屈家岭管理区屈家岭领秀天地16栋</t>
  </si>
  <si>
    <t>东莞爱格升精密电子有限公司</t>
  </si>
  <si>
    <t>人事助理</t>
  </si>
  <si>
    <t>武汉语言文化职业学院</t>
  </si>
  <si>
    <t>电子商务</t>
  </si>
  <si>
    <t>丈夫</t>
  </si>
  <si>
    <t>邹云峰</t>
  </si>
  <si>
    <t>工人</t>
  </si>
  <si>
    <t>2022/6/1-2025/5/31</t>
  </si>
  <si>
    <t>kksunshine8899</t>
  </si>
  <si>
    <t>6212261809005843282</t>
  </si>
  <si>
    <t>TYNG-143</t>
  </si>
  <si>
    <t>赵聪</t>
  </si>
  <si>
    <t>网络管理员</t>
  </si>
  <si>
    <t>420801198810304052</t>
  </si>
  <si>
    <t>湖北省荆门市东宝区屈家岭管理区团山100号401</t>
  </si>
  <si>
    <t>居民户口</t>
  </si>
  <si>
    <t>湖北省荆门市屈家岭管理区八号小区A栋401</t>
  </si>
  <si>
    <t>北京大学第三医院</t>
  </si>
  <si>
    <t>保卫处干事</t>
  </si>
  <si>
    <t>宋老师</t>
  </si>
  <si>
    <t>黄石理工学院</t>
  </si>
  <si>
    <t>计算机网络技术</t>
  </si>
  <si>
    <t>未婚</t>
  </si>
  <si>
    <t>赵中林</t>
  </si>
  <si>
    <t>郭书敏</t>
  </si>
  <si>
    <t>母子</t>
  </si>
  <si>
    <t>HBTYNG</t>
  </si>
  <si>
    <t>6212261809005882553</t>
  </si>
  <si>
    <t>H33952212</t>
  </si>
  <si>
    <t>6217211809005131209</t>
  </si>
  <si>
    <t>TYNG-336</t>
  </si>
  <si>
    <t>杜畅</t>
  </si>
  <si>
    <t>420821199211064317</t>
  </si>
  <si>
    <t>河南</t>
  </si>
  <si>
    <t xml:space="preserve">湖北省荆门市东宝区屈家岭管理区高湖分场王台队227
</t>
  </si>
  <si>
    <t>湖北东润木业有限公司</t>
  </si>
  <si>
    <t>中专</t>
  </si>
  <si>
    <t>武汉市第一技术学校</t>
  </si>
  <si>
    <t>汽车维修</t>
  </si>
  <si>
    <t>汽车修理工
电焊工</t>
  </si>
  <si>
    <t>妻子</t>
  </si>
  <si>
    <t>段瑞</t>
  </si>
  <si>
    <t>女</t>
  </si>
  <si>
    <t>教师</t>
  </si>
  <si>
    <t>2024/8/1-2025/7/31</t>
  </si>
  <si>
    <t>virulence</t>
  </si>
  <si>
    <t>6215581809007880254</t>
  </si>
  <si>
    <t>2024/6</t>
  </si>
  <si>
    <t>TYNG-005</t>
  </si>
  <si>
    <t>邹连香</t>
  </si>
  <si>
    <t>人事</t>
  </si>
  <si>
    <t>422432197506036524</t>
  </si>
  <si>
    <t>湖北京山</t>
  </si>
  <si>
    <t>湖北省荆门市东宝区屈家岭管理区畜牧分场乳品奶牛厂0010号153</t>
  </si>
  <si>
    <t>湖北省荆门市东宝区屈家岭管理区君悦花园4栋302</t>
  </si>
  <si>
    <t>湖北爱斯曼食品有限公司</t>
  </si>
  <si>
    <t>文员</t>
  </si>
  <si>
    <t>黄汉彪</t>
  </si>
  <si>
    <t>计算机系统操作工</t>
  </si>
  <si>
    <t>张功华</t>
  </si>
  <si>
    <t>管理人员</t>
  </si>
  <si>
    <t>留守人员</t>
  </si>
  <si>
    <t>alianzou1975</t>
  </si>
  <si>
    <t>6212261809002094061</t>
  </si>
  <si>
    <t>H41291127</t>
  </si>
  <si>
    <t>6228231609007548175</t>
  </si>
  <si>
    <t>TYNG-437</t>
  </si>
  <si>
    <t>潘红琼</t>
  </si>
  <si>
    <t>帮厨</t>
  </si>
  <si>
    <t>19820594095</t>
  </si>
  <si>
    <t>422432196811016584</t>
  </si>
  <si>
    <t>湖北省荆门市东宝区屈家岭管理区何集分场路东区246</t>
  </si>
  <si>
    <t>湖北省荆门市东宝区屈家岭管理区万佳华府</t>
  </si>
  <si>
    <t>劳务用工</t>
  </si>
  <si>
    <t>育华餐饮</t>
  </si>
  <si>
    <t>保洁员</t>
  </si>
  <si>
    <t>方新明</t>
  </si>
  <si>
    <t>屈家岭何集中学</t>
  </si>
  <si>
    <t>王风雷</t>
  </si>
  <si>
    <t>王舜</t>
  </si>
  <si>
    <t>6215581809007520637</t>
  </si>
  <si>
    <t>/</t>
  </si>
  <si>
    <t>TYNG-142</t>
  </si>
  <si>
    <t>李凤皇</t>
  </si>
  <si>
    <t>后勤员</t>
  </si>
  <si>
    <t>430681196210145215</t>
  </si>
  <si>
    <t>湖南汨罗</t>
  </si>
  <si>
    <t>湖南省汩罗市罗江镇山秀村八组4号</t>
  </si>
  <si>
    <t>吴秋军</t>
  </si>
  <si>
    <t>2024/7/10-2025/7/9</t>
  </si>
  <si>
    <t>6212261809005883585</t>
  </si>
  <si>
    <t>TYNG-450</t>
  </si>
  <si>
    <t>王芳</t>
  </si>
  <si>
    <t>42243219760108652X</t>
  </si>
  <si>
    <t>湖北省荆门市东宝区屈家岭管理区五三农场何集分场西湖队044</t>
  </si>
  <si>
    <t>1976-1-8</t>
  </si>
  <si>
    <t>幼儿园教师</t>
  </si>
  <si>
    <t>牛志远</t>
  </si>
  <si>
    <t>单位职工</t>
  </si>
  <si>
    <t>2025/2/20-2026/2/19</t>
  </si>
  <si>
    <t>niuzhiyuan1742119169</t>
  </si>
  <si>
    <t>6215581809007615833</t>
  </si>
  <si>
    <t>无</t>
  </si>
  <si>
    <t>2025.02</t>
  </si>
  <si>
    <t>试用期2025.5转</t>
  </si>
  <si>
    <t>TYNG-108</t>
  </si>
  <si>
    <t>财务部</t>
  </si>
  <si>
    <t>财务副经理</t>
  </si>
  <si>
    <t>422432198001176526</t>
  </si>
  <si>
    <t>湖北省荆门市东宝区屈家岭管理区五三大道76座一单元408号</t>
  </si>
  <si>
    <t>非农业户口</t>
  </si>
  <si>
    <t xml:space="preserve">荆门金色假日酒店有限公司
</t>
  </si>
  <si>
    <t>会计</t>
  </si>
  <si>
    <t>中级会计</t>
  </si>
  <si>
    <t>中级</t>
  </si>
  <si>
    <t>2025/1/1-2025/12/31</t>
  </si>
  <si>
    <t>wxid_6d04g86w6ssu22</t>
  </si>
  <si>
    <t>6215591809001552303</t>
  </si>
  <si>
    <t>TYNG-180</t>
  </si>
  <si>
    <t>吴镜平</t>
  </si>
  <si>
    <t>422432196703086526</t>
  </si>
  <si>
    <t>湖北云梦</t>
  </si>
  <si>
    <t>湖北省荆门市东宝区屈家岭管理区五三中路16座5栋二单元407</t>
  </si>
  <si>
    <t>湖北省荆门市屈家岭管理区供电所家属大院内</t>
  </si>
  <si>
    <t>五三电力局</t>
  </si>
  <si>
    <t>湖北广播电视大学</t>
  </si>
  <si>
    <t>财务会计</t>
  </si>
  <si>
    <t>黎红彪</t>
  </si>
  <si>
    <t>2024/7/1-2025/6/30</t>
  </si>
  <si>
    <t>w13797928108</t>
  </si>
  <si>
    <t>6212261809002101742</t>
  </si>
  <si>
    <t>TYNG-358</t>
  </si>
  <si>
    <t>高文利</t>
  </si>
  <si>
    <t>税务会计</t>
  </si>
  <si>
    <t>42082119860603402X</t>
  </si>
  <si>
    <t>湖北省荆门市东宝区屈家岭管理区园艺分场王家榜队193号</t>
  </si>
  <si>
    <t>湖北省荆门市屈家岭管理区屈岭社区毛岭</t>
  </si>
  <si>
    <t xml:space="preserve">湖北农谷现代农业产业发展有限公司
</t>
  </si>
  <si>
    <t>客房服务员</t>
  </si>
  <si>
    <t>孟汉珍</t>
  </si>
  <si>
    <t>浙江工业大学</t>
  </si>
  <si>
    <t>高其各</t>
  </si>
  <si>
    <t>张红波</t>
  </si>
  <si>
    <t>2024/5/15-2025/5/14</t>
  </si>
  <si>
    <t>gao15272091137</t>
  </si>
  <si>
    <t>6215591809000003332</t>
  </si>
  <si>
    <t>H35312200</t>
  </si>
  <si>
    <t>6230 5505 6798 9473</t>
  </si>
  <si>
    <t>2024/1</t>
  </si>
  <si>
    <t>TYNG-393</t>
  </si>
  <si>
    <t>42010619790625006X</t>
  </si>
  <si>
    <t>湖北荆州</t>
  </si>
  <si>
    <t>湖北省荆州市荆州区荆南路2号</t>
  </si>
  <si>
    <t>湖北省荆门市东宝区屈家岭管理区建设南路</t>
  </si>
  <si>
    <t>屈家岭管理区税务局</t>
  </si>
  <si>
    <t>办税服务厅</t>
  </si>
  <si>
    <t>彭丽</t>
  </si>
  <si>
    <t>湖北省税务学校</t>
  </si>
  <si>
    <t>税收</t>
  </si>
  <si>
    <t>女儿</t>
  </si>
  <si>
    <t>杨之卉</t>
  </si>
  <si>
    <t>杨波</t>
  </si>
  <si>
    <t>2024/12/11-2025/12/10</t>
  </si>
  <si>
    <t>6215581809000210152</t>
  </si>
  <si>
    <t>TYNG-421</t>
  </si>
  <si>
    <t>程静</t>
  </si>
  <si>
    <t>42243219711201658X</t>
  </si>
  <si>
    <t>湖北襄阳</t>
  </si>
  <si>
    <t>湖北省襄樊市襄城区中原路35号</t>
  </si>
  <si>
    <t>江西金色农谷教育科技有限公司</t>
  </si>
  <si>
    <t>主管会计</t>
  </si>
  <si>
    <t>邓</t>
  </si>
  <si>
    <t>农垦学校</t>
  </si>
  <si>
    <t>审计</t>
  </si>
  <si>
    <t>初级</t>
  </si>
  <si>
    <t>父女</t>
  </si>
  <si>
    <t>程新如</t>
  </si>
  <si>
    <t>程贤</t>
  </si>
  <si>
    <t>姐妹</t>
  </si>
  <si>
    <t>2024/6/18-2025/6/17</t>
  </si>
  <si>
    <t>6217211804027993025</t>
  </si>
  <si>
    <t>2024/3</t>
  </si>
  <si>
    <t>TYNG-134</t>
  </si>
  <si>
    <t>黎冬霜</t>
  </si>
  <si>
    <t>采购计划部</t>
  </si>
  <si>
    <t>采购员</t>
  </si>
  <si>
    <t>420821199011225649</t>
  </si>
  <si>
    <t>湖北省荆门市东宝区屈家岭管理区水泥厂180号</t>
  </si>
  <si>
    <t>湖北荆门市屈家岭管理区水泥厂180号</t>
  </si>
  <si>
    <t xml:space="preserve">湖北安能热电有限公司
</t>
  </si>
  <si>
    <t>计算机</t>
  </si>
  <si>
    <t>计算机操作员</t>
  </si>
  <si>
    <t>王凯</t>
  </si>
  <si>
    <t>2023/5/1-2026/4/30</t>
  </si>
  <si>
    <t>Wangchenli20140907</t>
  </si>
  <si>
    <t>6212261809004220300</t>
  </si>
  <si>
    <t>H37507124</t>
  </si>
  <si>
    <t>6217211809005609170</t>
  </si>
  <si>
    <t>TYNG-332</t>
  </si>
  <si>
    <t>严锦</t>
  </si>
  <si>
    <t>420821198511036022</t>
  </si>
  <si>
    <t>湖北省京山县永隆镇下陈桥村五组22号</t>
  </si>
  <si>
    <t>化验员</t>
  </si>
  <si>
    <t>王安琪</t>
  </si>
  <si>
    <t>国家开放大学</t>
  </si>
  <si>
    <t>人力资源管理</t>
  </si>
  <si>
    <t>张力</t>
  </si>
  <si>
    <t>2024/7/20-2025/7/19</t>
  </si>
  <si>
    <t>yan13611430813</t>
  </si>
  <si>
    <t>6212263602092122597</t>
  </si>
  <si>
    <t>2024/5</t>
  </si>
  <si>
    <t>TYNG-446</t>
  </si>
  <si>
    <t>庞龙斌</t>
  </si>
  <si>
    <t>420801198808054330</t>
  </si>
  <si>
    <t>湖北省荆门市东宝区屈家岭管理区何集分场路东区158</t>
  </si>
  <si>
    <t>湖北省荆门市屈家岭管理区万佳华府</t>
  </si>
  <si>
    <t>中山商联商务有限公司</t>
  </si>
  <si>
    <t>客户经理</t>
  </si>
  <si>
    <t>中山火炬职业技术学院</t>
  </si>
  <si>
    <t>市场营销</t>
  </si>
  <si>
    <t>庞志强</t>
  </si>
  <si>
    <t>父子</t>
  </si>
  <si>
    <t>6212262011027246359</t>
  </si>
  <si>
    <t>2025/8</t>
  </si>
  <si>
    <t>TYNG-447</t>
  </si>
  <si>
    <t>何晨</t>
  </si>
  <si>
    <t>质检部</t>
  </si>
  <si>
    <t>质检员</t>
  </si>
  <si>
    <t>500224200107032317</t>
  </si>
  <si>
    <t>湖北省荆门市东宝区屈家岭管理区长滩分场月宝山队26号</t>
  </si>
  <si>
    <t>湖北省荆门市屈家岭管理区万佳华府18栋</t>
  </si>
  <si>
    <t>试用期</t>
  </si>
  <si>
    <t>编程</t>
  </si>
  <si>
    <t>班主任</t>
  </si>
  <si>
    <t>本科</t>
  </si>
  <si>
    <t>湖南涉外经济学院</t>
  </si>
  <si>
    <t>环境设计</t>
  </si>
  <si>
    <t>爷爷</t>
  </si>
  <si>
    <t>何么生</t>
  </si>
  <si>
    <t>爷孙</t>
  </si>
  <si>
    <t>介绍</t>
  </si>
  <si>
    <t>6212251809000705009</t>
  </si>
  <si>
    <t>2025/10</t>
  </si>
  <si>
    <t>TYNG-009</t>
  </si>
  <si>
    <t>余德胜</t>
  </si>
  <si>
    <t>仓储部</t>
  </si>
  <si>
    <t>冷库设备机组管理员</t>
  </si>
  <si>
    <t>420801197005014058</t>
  </si>
  <si>
    <t>湖北省荆门市东宝区屈家岭管理区建设路44座</t>
  </si>
  <si>
    <t>湖北省荆门市东宝区屈家岭管理区屈家岭美其巷</t>
  </si>
  <si>
    <t>制冷工</t>
  </si>
  <si>
    <t>五三农场实验中学</t>
  </si>
  <si>
    <t>N1
2类压力容器操作</t>
  </si>
  <si>
    <t>张久红</t>
  </si>
  <si>
    <t>余小荣</t>
  </si>
  <si>
    <t>姐弟</t>
  </si>
  <si>
    <t>2023/4/1-2026/3/31</t>
  </si>
  <si>
    <t>wxid_8qszvqy787hs22</t>
  </si>
  <si>
    <t>6212261809002093840</t>
  </si>
  <si>
    <t>H1602668X</t>
  </si>
  <si>
    <t>6228231605139931362</t>
  </si>
  <si>
    <t>TYNG-064</t>
  </si>
  <si>
    <t>王洪平</t>
  </si>
  <si>
    <t>仓储副经理</t>
  </si>
  <si>
    <t>422432197210026511</t>
  </si>
  <si>
    <t>湖北省荆门市东宝区屈家岭管理区创业路163座二栋二单元101号</t>
  </si>
  <si>
    <t>湖北省荆门市东宝区屈家岭管理区桃源居</t>
  </si>
  <si>
    <t>宁波陆辰包装科技有限公司</t>
  </si>
  <si>
    <t>厂长助理</t>
  </si>
  <si>
    <t>荆州广播电视大学</t>
  </si>
  <si>
    <t>经济管理</t>
  </si>
  <si>
    <t>N1</t>
  </si>
  <si>
    <t>赵春红</t>
  </si>
  <si>
    <t>自由职业</t>
  </si>
  <si>
    <t>王卫平</t>
  </si>
  <si>
    <t>兄长</t>
  </si>
  <si>
    <t>2024/7/2-2025/7/1</t>
  </si>
  <si>
    <t>wxid_saoh10g4m5ek22</t>
  </si>
  <si>
    <t>6222031809000147471</t>
  </si>
  <si>
    <t>H36659476</t>
  </si>
  <si>
    <t>6228231609007885775</t>
  </si>
  <si>
    <t>TYNG-140</t>
  </si>
  <si>
    <t>聂小玲</t>
  </si>
  <si>
    <t>常温成品仓管员</t>
  </si>
  <si>
    <t>420821197912166122</t>
  </si>
  <si>
    <t>湖北省京山县永隆镇张常台村四组58号</t>
  </si>
  <si>
    <t>湖北诚兴日用品</t>
  </si>
  <si>
    <t>仓管员</t>
  </si>
  <si>
    <t>荆州职业技术中等专业学校</t>
  </si>
  <si>
    <t>英语</t>
  </si>
  <si>
    <t>丁明山</t>
  </si>
  <si>
    <t>2022/7/1-2025/6/30</t>
  </si>
  <si>
    <t>wxid_7vdciaxqsdlm22</t>
  </si>
  <si>
    <t>6215581809006631641</t>
  </si>
  <si>
    <t>TYNG-159</t>
  </si>
  <si>
    <t>毛四雄</t>
  </si>
  <si>
    <t>叉车班长</t>
  </si>
  <si>
    <t>420821197010296059</t>
  </si>
  <si>
    <t>湖北省京山县永隆镇高湖街村二组101号</t>
  </si>
  <si>
    <t>湖北双胞胎饲料有限公司</t>
  </si>
  <si>
    <t>杨峰中学</t>
  </si>
  <si>
    <t>刘桂清</t>
  </si>
  <si>
    <t>2022/9/1-2025/8/31</t>
  </si>
  <si>
    <t>wxid_92di93wlt2si22</t>
  </si>
  <si>
    <t>6215581809006831241</t>
  </si>
  <si>
    <t>H21095794</t>
  </si>
  <si>
    <t>6228231605235266069</t>
  </si>
  <si>
    <t>TYNG-231</t>
  </si>
  <si>
    <t>马春霞</t>
  </si>
  <si>
    <t>冷冻成品仓管员</t>
  </si>
  <si>
    <t>422432198107226528</t>
  </si>
  <si>
    <t>湖北省荆门市东宝区屈家岭管理区高湖分场王台队099</t>
  </si>
  <si>
    <t>湖北省荆门市东宝区屈家岭管理区岭秀天地</t>
  </si>
  <si>
    <t>仙桃市成人教育中心</t>
  </si>
  <si>
    <t>旅游公关</t>
  </si>
  <si>
    <t>刘海涛</t>
  </si>
  <si>
    <t>wxid_nqv250b60m6z22</t>
  </si>
  <si>
    <t>6215581809007515231</t>
  </si>
  <si>
    <t>H41837943</t>
  </si>
  <si>
    <t>6228231609017487679</t>
  </si>
  <si>
    <t>TYNG-1005</t>
  </si>
  <si>
    <t>李学飞</t>
  </si>
  <si>
    <t>仓储物流主管</t>
  </si>
  <si>
    <t>130728199001246040</t>
  </si>
  <si>
    <t>河北</t>
  </si>
  <si>
    <t>河北省张家口市怀安县怀安城镇民主街镇中街5号</t>
  </si>
  <si>
    <t>湖北省京山县雁门口镇常家山村五组</t>
  </si>
  <si>
    <t>主管</t>
  </si>
  <si>
    <t xml:space="preserve">湖北帮帮公社食品有限公司
</t>
  </si>
  <si>
    <t>湖北生态工程职业技术学院</t>
  </si>
  <si>
    <t>室内设计技术</t>
  </si>
  <si>
    <t>英语英语能力A级
普通话水平二级甲等</t>
  </si>
  <si>
    <t>杨唱奇</t>
  </si>
  <si>
    <t>设计师</t>
  </si>
  <si>
    <t>周元珍</t>
  </si>
  <si>
    <t>婆媳</t>
  </si>
  <si>
    <t>2023/11/1-2026/10/31</t>
  </si>
  <si>
    <t>公司转岗</t>
  </si>
  <si>
    <t>fei120693449</t>
  </si>
  <si>
    <t>6215591809000714581</t>
  </si>
  <si>
    <t>H2947457X</t>
  </si>
  <si>
    <t>6217211809004315340</t>
  </si>
  <si>
    <t>TYNG-286</t>
  </si>
  <si>
    <t>瞿顺清</t>
  </si>
  <si>
    <t>叉车工</t>
  </si>
  <si>
    <t>13098848611</t>
  </si>
  <si>
    <t>420801196803014031</t>
  </si>
  <si>
    <t>湖北省荆门市屈家岭管理区创业路157座三栋2-5号</t>
  </si>
  <si>
    <t>湖北省荆门市东宝区屈家岭管理区运通花园</t>
  </si>
  <si>
    <t xml:space="preserve">湖北致新权鼎科技有限公司
</t>
  </si>
  <si>
    <t>罗亚玲</t>
  </si>
  <si>
    <t>2024/6/2-2025/6/1</t>
  </si>
  <si>
    <t>Qu848611</t>
  </si>
  <si>
    <t>6212261809003794883</t>
  </si>
  <si>
    <t>H23087026</t>
  </si>
  <si>
    <t>6228231605236813562</t>
  </si>
  <si>
    <t>TYNG-335</t>
  </si>
  <si>
    <t>李守恒</t>
  </si>
  <si>
    <t>420821198709034313</t>
  </si>
  <si>
    <t xml:space="preserve">湖北省荆门市东宝区屈家岭管理区高湖分场下洋队450
</t>
  </si>
  <si>
    <t xml:space="preserve">湖北省荆门市屈家岭管理区君悦花园3栋401
</t>
  </si>
  <si>
    <t>家纺个体店</t>
  </si>
  <si>
    <t>老板</t>
  </si>
  <si>
    <t>屈家岭初级中学</t>
  </si>
  <si>
    <t>叉车高级工</t>
  </si>
  <si>
    <t>尹慧敏</t>
  </si>
  <si>
    <t>个体商人</t>
  </si>
  <si>
    <t>l2573258</t>
  </si>
  <si>
    <t>6215581809005701106</t>
  </si>
  <si>
    <t>H35495369</t>
  </si>
  <si>
    <t>6230 5505 6799 0869</t>
  </si>
  <si>
    <t>TYNG-351</t>
  </si>
  <si>
    <t>黎勇</t>
  </si>
  <si>
    <t>420821197408136055</t>
  </si>
  <si>
    <t>湖北省京山县永隆镇黎家垸村三组61号</t>
  </si>
  <si>
    <t>杨峰木材加工厂</t>
  </si>
  <si>
    <t>刘辉</t>
  </si>
  <si>
    <t>黎炎顺</t>
  </si>
  <si>
    <t>6222031809001517342</t>
  </si>
  <si>
    <t>TYNG-371</t>
  </si>
  <si>
    <t>张雪梅</t>
  </si>
  <si>
    <t>包材/化学品仓管员</t>
  </si>
  <si>
    <t>422432197911246541</t>
  </si>
  <si>
    <t>湖北省荆门市东宝区屈家岭管理区复兴巷31座01号</t>
  </si>
  <si>
    <t>湖北省荆门市东宝区屈家岭管理区樱桃苑18栋105号</t>
  </si>
  <si>
    <t xml:space="preserve">湖北五三农场绿普旺食品有限公司
</t>
  </si>
  <si>
    <t>物流/包装组长</t>
  </si>
  <si>
    <t>刘晓旭</t>
  </si>
  <si>
    <t>程平</t>
  </si>
  <si>
    <t>2024/10/1-2025/9/30</t>
  </si>
  <si>
    <t>员工推荐</t>
  </si>
  <si>
    <t>6212261809005764868</t>
  </si>
  <si>
    <t>H44240042</t>
  </si>
  <si>
    <t>62282316090118659870</t>
  </si>
  <si>
    <t>TYNG-373</t>
  </si>
  <si>
    <t>林艳</t>
  </si>
  <si>
    <t>物流专员</t>
  </si>
  <si>
    <t>500230199902187424</t>
  </si>
  <si>
    <t>重庆丰都</t>
  </si>
  <si>
    <t>重庆市丰都县武平镇磨刀洞村6组23号</t>
  </si>
  <si>
    <t>湖北省荆门市东宝区屈家岭管理区政务服务中心家属楼一单元502</t>
  </si>
  <si>
    <t>专员</t>
  </si>
  <si>
    <t xml:space="preserve">盈环网络信息技术有限公司
</t>
  </si>
  <si>
    <t>在线顾问</t>
  </si>
  <si>
    <t>重庆商务职业学院</t>
  </si>
  <si>
    <t>财务管理</t>
  </si>
  <si>
    <t>林登清</t>
  </si>
  <si>
    <t>6222031809001993501</t>
  </si>
  <si>
    <t>TYNG-387</t>
  </si>
  <si>
    <t>方小荣</t>
  </si>
  <si>
    <t>原辅料/五金仓管员</t>
  </si>
  <si>
    <t>420801198210084025</t>
  </si>
  <si>
    <t>湖北省荆门市东宝区屈家岭管理区水泥厂53号</t>
  </si>
  <si>
    <t>宇顺电子有限公司</t>
  </si>
  <si>
    <t>IQC</t>
  </si>
  <si>
    <t>五三职高</t>
  </si>
  <si>
    <t>王小华</t>
  </si>
  <si>
    <t>2024/11/1-2025/10/31</t>
  </si>
  <si>
    <t>庞丽红</t>
  </si>
  <si>
    <t>6215581809006390230</t>
  </si>
  <si>
    <t>H41519371</t>
  </si>
  <si>
    <t>6228231609007511272</t>
  </si>
  <si>
    <t>2024/8</t>
  </si>
  <si>
    <t>TYNG-408</t>
  </si>
  <si>
    <t>胡勇星</t>
  </si>
  <si>
    <t>420821196911116030</t>
  </si>
  <si>
    <t>湖北省京山县永隆镇公益村五组052号</t>
  </si>
  <si>
    <t>泉州市三宏化纤有限公司</t>
  </si>
  <si>
    <t>叉车</t>
  </si>
  <si>
    <t>胡慧玲</t>
  </si>
  <si>
    <t>胡琪</t>
  </si>
  <si>
    <t>叔侄</t>
  </si>
  <si>
    <t>2024/5/1-2025/4/30</t>
  </si>
  <si>
    <t>6215591809001247086</t>
  </si>
  <si>
    <t>2025/2</t>
  </si>
  <si>
    <t>TYNG-410</t>
  </si>
  <si>
    <t>何晓光</t>
  </si>
  <si>
    <t>冷冻原料仓管员</t>
  </si>
  <si>
    <t>420801198107154013</t>
  </si>
  <si>
    <t>湖北省荆门市东宝区屈家岭管理区畜禽公司248号</t>
  </si>
  <si>
    <t>湖北省荆门市东宝区屈家岭管理区张塘湾</t>
  </si>
  <si>
    <t>长江只会</t>
  </si>
  <si>
    <t>皮带</t>
  </si>
  <si>
    <t>何兴菊</t>
  </si>
  <si>
    <t>长江职业学院</t>
  </si>
  <si>
    <t>广告平面</t>
  </si>
  <si>
    <t>何培军</t>
  </si>
  <si>
    <t>退休</t>
  </si>
  <si>
    <t>管静</t>
  </si>
  <si>
    <t>6215581809007647190</t>
  </si>
  <si>
    <t>TYNG-411</t>
  </si>
  <si>
    <t>420801198609054012</t>
  </si>
  <si>
    <t>湖北省荆门市东宝区屈家岭管理区团山272号</t>
  </si>
  <si>
    <t>货车公司</t>
  </si>
  <si>
    <t>2020.10</t>
  </si>
  <si>
    <t>电子</t>
  </si>
  <si>
    <t>高级</t>
  </si>
  <si>
    <t>2023.11.16</t>
  </si>
  <si>
    <t>梁金华</t>
  </si>
  <si>
    <t>6212261809005789360</t>
  </si>
  <si>
    <t>2025/3</t>
  </si>
  <si>
    <t>TYNG-425</t>
  </si>
  <si>
    <t>田沂雨</t>
  </si>
  <si>
    <t>420801199412114039</t>
  </si>
  <si>
    <t>湖北省荆门市东宝区屈家岭管理区畜禽公司242号</t>
  </si>
  <si>
    <t>湖北省荆门市东宝区屈家岭管理区景怡花苑</t>
  </si>
  <si>
    <t>周芷若</t>
  </si>
  <si>
    <t>2024/9/1-2025/8/31</t>
  </si>
  <si>
    <t>6222031809003011864</t>
  </si>
  <si>
    <t>2025/5</t>
  </si>
  <si>
    <t>TYNG-010</t>
  </si>
  <si>
    <t>许泽刚</t>
  </si>
  <si>
    <t>工程部</t>
  </si>
  <si>
    <t>高级技工</t>
  </si>
  <si>
    <t>422432197205201338</t>
  </si>
  <si>
    <t>湖北仙桃</t>
  </si>
  <si>
    <t>湖北省荆门市东宝区屈家岭管理区水泥厂5栋5</t>
  </si>
  <si>
    <t>湖北省荆门市东宝区屈家岭管理区制药厂</t>
  </si>
  <si>
    <t>机修班长</t>
  </si>
  <si>
    <t>张晟平</t>
  </si>
  <si>
    <t>毛嘴高中</t>
  </si>
  <si>
    <t>中级焊工</t>
  </si>
  <si>
    <t>焊工四级
焊接与热切割</t>
  </si>
  <si>
    <t>柴丽</t>
  </si>
  <si>
    <t>zg720702</t>
  </si>
  <si>
    <t>6212261809002094046</t>
  </si>
  <si>
    <t>H08803258</t>
  </si>
  <si>
    <t>6228231605017913565</t>
  </si>
  <si>
    <t>TYNG-058</t>
  </si>
  <si>
    <t>倪书成</t>
  </si>
  <si>
    <t>机修工</t>
  </si>
  <si>
    <t>422432197301256515</t>
  </si>
  <si>
    <t>湖北省荆门市东宝区屈家岭管理区建材厂1座102号</t>
  </si>
  <si>
    <t>湖北省荆门市东宝区屈家岭管理区万佳华府二期</t>
  </si>
  <si>
    <t xml:space="preserve">京山华贝化工有限责任公司
</t>
  </si>
  <si>
    <t>维修工</t>
  </si>
  <si>
    <t>屈家岭蔡垱中学</t>
  </si>
  <si>
    <t>电焊工中级</t>
  </si>
  <si>
    <t>贾丽</t>
  </si>
  <si>
    <t>曹凤兰</t>
  </si>
  <si>
    <t>2024/6/5-2025/6/4</t>
  </si>
  <si>
    <t>Wei38502</t>
  </si>
  <si>
    <t>6215581809005472690</t>
  </si>
  <si>
    <t>H37337022</t>
  </si>
  <si>
    <t>6217211809005207041</t>
  </si>
  <si>
    <t>TYNG-026</t>
  </si>
  <si>
    <t>苏中心</t>
  </si>
  <si>
    <t>污水处理工</t>
  </si>
  <si>
    <t>42082119651126603X</t>
  </si>
  <si>
    <t>湖北省京山县永隆镇高湖街一组54号</t>
  </si>
  <si>
    <t xml:space="preserve">湖北爱斯曼食品有限公司
</t>
  </si>
  <si>
    <t>保安</t>
  </si>
  <si>
    <t>京山三中</t>
  </si>
  <si>
    <t>低压电工作业
高级电工</t>
  </si>
  <si>
    <t>黎欢喜</t>
  </si>
  <si>
    <t>wxid_bcpf00lmj2vj22</t>
  </si>
  <si>
    <t>6215581809005256846</t>
  </si>
  <si>
    <t>H09823410</t>
  </si>
  <si>
    <t>6213361600784004619</t>
  </si>
  <si>
    <t>TYNG-252</t>
  </si>
  <si>
    <t>李小瑞</t>
  </si>
  <si>
    <t>电工</t>
  </si>
  <si>
    <t>420621198104078654</t>
  </si>
  <si>
    <t>湖北省襄阳市城区欧庙镇李老村1组</t>
  </si>
  <si>
    <t>湖北省京山市雁门口镇新生水泥厂</t>
  </si>
  <si>
    <t>京山汽车配件（和承）有限公司</t>
  </si>
  <si>
    <t>电器/模具维修</t>
  </si>
  <si>
    <t>周建</t>
  </si>
  <si>
    <t>襄阳一中</t>
  </si>
  <si>
    <t>高压电工</t>
  </si>
  <si>
    <t>蔡玲玲</t>
  </si>
  <si>
    <t>2024/3/9-2025/3/8</t>
  </si>
  <si>
    <t>wxid_cm2tcxv3wagz22</t>
  </si>
  <si>
    <t>6215581809007516908</t>
  </si>
  <si>
    <t>H06135663</t>
  </si>
  <si>
    <t>6217211809000284938</t>
  </si>
  <si>
    <t>TYNG-279</t>
  </si>
  <si>
    <t>张小红</t>
  </si>
  <si>
    <t>锅炉工</t>
  </si>
  <si>
    <t>422432197004286515</t>
  </si>
  <si>
    <t>湖北省荆门市东宝区屈家岭管理区高湖分场杨丰队029</t>
  </si>
  <si>
    <t>湖北省荆门市屈家岭管理区老电影院</t>
  </si>
  <si>
    <t xml:space="preserve">湖北品田包装有限公司
</t>
  </si>
  <si>
    <t>锅炉一级工</t>
  </si>
  <si>
    <t>钱文玲</t>
  </si>
  <si>
    <t>2024/5/14-2025/5/13</t>
  </si>
  <si>
    <t>a131777770</t>
  </si>
  <si>
    <t>6212261809001964835</t>
  </si>
  <si>
    <t>H37297454</t>
  </si>
  <si>
    <t>6230 5505 6776 1435</t>
  </si>
  <si>
    <t>TYNG-311</t>
  </si>
  <si>
    <t>王敢斌</t>
  </si>
  <si>
    <t>13797942211</t>
  </si>
  <si>
    <t>422432197112106518</t>
  </si>
  <si>
    <t>湖北省荆门市东宝区屈家岭管理区石果湾029号</t>
  </si>
  <si>
    <t>湖北省荆门市东宝区屈家岭管理区金岭龙城</t>
  </si>
  <si>
    <t xml:space="preserve">湖北农谷环保科技有限公司
</t>
  </si>
  <si>
    <t>机修</t>
  </si>
  <si>
    <t>朱洪丽</t>
  </si>
  <si>
    <t>wgb642211</t>
  </si>
  <si>
    <t>6215581809007521684</t>
  </si>
  <si>
    <t>TYNG-316</t>
  </si>
  <si>
    <t>黄保红</t>
  </si>
  <si>
    <t>42243219711230651X</t>
  </si>
  <si>
    <t>湖北省荆门市东宝区屈家岭管理区水泥厂68号</t>
  </si>
  <si>
    <t>湖北省荆门市东宝区屈家岭管理区东方明珠11栋</t>
  </si>
  <si>
    <t>湖北广播电视中等专业学校</t>
  </si>
  <si>
    <t>机电</t>
  </si>
  <si>
    <t>焊工四级/维修电工三级/特种设备安全管理A/压力容器作业R1</t>
  </si>
  <si>
    <t>安金莲</t>
  </si>
  <si>
    <t>2025/2/1-2026/1/31</t>
  </si>
  <si>
    <t>h15871987067</t>
  </si>
  <si>
    <t>6212261809002094152</t>
  </si>
  <si>
    <t>TYNG-350</t>
  </si>
  <si>
    <t>罗刚</t>
  </si>
  <si>
    <t>430681197712110033</t>
  </si>
  <si>
    <t>湖南省汨罗市屈原管理区营田镇青山寺居委会金贸居民区</t>
  </si>
  <si>
    <t>中国航天工程部</t>
  </si>
  <si>
    <t>水电安装</t>
  </si>
  <si>
    <t>侯丽花</t>
  </si>
  <si>
    <t>屈原一中</t>
  </si>
  <si>
    <t>罗烈山</t>
  </si>
  <si>
    <t>罗毅龙</t>
  </si>
  <si>
    <t>兄弟</t>
  </si>
  <si>
    <t>2024/12/1-2025/11/30</t>
  </si>
  <si>
    <t>2022年10月</t>
  </si>
  <si>
    <t>换银行卡</t>
  </si>
  <si>
    <t>6222031907003007104</t>
  </si>
  <si>
    <t>6228231105006024367</t>
  </si>
  <si>
    <t>TYNG-395</t>
  </si>
  <si>
    <t>李冬</t>
  </si>
  <si>
    <t>422432197801156510</t>
  </si>
  <si>
    <t>山东</t>
  </si>
  <si>
    <t>湖北省荆门市东宝区屈家岭管理区罗汉寺分场机关23号</t>
  </si>
  <si>
    <t>湖北省荆门市东宝区屈家岭管理区好吃佬街</t>
  </si>
  <si>
    <t>石门水库变电站</t>
  </si>
  <si>
    <t>孙培刚</t>
  </si>
  <si>
    <t>钟祥供销学校</t>
  </si>
  <si>
    <t>低压电工作业</t>
  </si>
  <si>
    <t>湖北省荆门市屈家岭管理区</t>
  </si>
  <si>
    <t>李一耕</t>
  </si>
  <si>
    <t>李瑞</t>
  </si>
  <si>
    <t>6222031809002255652</t>
  </si>
  <si>
    <t>2024/10</t>
  </si>
  <si>
    <t>TYNG-160</t>
  </si>
  <si>
    <t>宁明友</t>
  </si>
  <si>
    <t>生产副经理</t>
  </si>
  <si>
    <t>420684199601171518</t>
  </si>
  <si>
    <t>湖北宜城</t>
  </si>
  <si>
    <t>湖北省宜城市小河镇余云村八组</t>
  </si>
  <si>
    <t xml:space="preserve">河北神雕食品有限公司
</t>
  </si>
  <si>
    <t>副主任</t>
  </si>
  <si>
    <t>宜城四中</t>
  </si>
  <si>
    <t>张万菊</t>
  </si>
  <si>
    <t>个人原因</t>
  </si>
  <si>
    <t>sake960117</t>
  </si>
  <si>
    <t>6212261210001430002</t>
  </si>
  <si>
    <t>F58477126</t>
  </si>
  <si>
    <t>6228230755294844065</t>
  </si>
  <si>
    <t>TYNG-176</t>
  </si>
  <si>
    <t>统计/计划员</t>
  </si>
  <si>
    <t>422432198007086548</t>
  </si>
  <si>
    <t>湖北省荆门市东宝区屈家岭管理区蔡垱分场孙坡队0029号008</t>
  </si>
  <si>
    <t>湖北省荆门市东宝区屈家岭管理区五三豪庭</t>
  </si>
  <si>
    <t xml:space="preserve">湖北省荆门市屈家岭中国联通
</t>
  </si>
  <si>
    <t>店长</t>
  </si>
  <si>
    <t>叶阳金</t>
  </si>
  <si>
    <t>2022/10/1-2025/9/30</t>
  </si>
  <si>
    <t>wxid_4s0qsor8tkwi21</t>
  </si>
  <si>
    <t>6222021809003944066</t>
  </si>
  <si>
    <t>H44010992</t>
  </si>
  <si>
    <t>6230 5505 8644 6570</t>
  </si>
  <si>
    <t>TYNG-055</t>
  </si>
  <si>
    <t>曹琴</t>
  </si>
  <si>
    <t>生产助理</t>
  </si>
  <si>
    <t>420801198809184268</t>
  </si>
  <si>
    <t>湖北省荆门市东宝区屈家岭管理区蔡垱分场坡湾队0033号068</t>
  </si>
  <si>
    <t>湖北省荆门市屈家岭管理区时代星辰</t>
  </si>
  <si>
    <t>进通电子有限公司</t>
  </si>
  <si>
    <t>ISO文控</t>
  </si>
  <si>
    <t>中央广播电视大学</t>
  </si>
  <si>
    <t>工商管理</t>
  </si>
  <si>
    <t>离异</t>
  </si>
  <si>
    <t>母亲</t>
  </si>
  <si>
    <t>吴雪梅</t>
  </si>
  <si>
    <t>母女</t>
  </si>
  <si>
    <t>wxid_kl9xoho86vms21</t>
  </si>
  <si>
    <t>6222031809001487496</t>
  </si>
  <si>
    <t>H41158705</t>
  </si>
  <si>
    <t>6228231609007667173</t>
  </si>
  <si>
    <t>TYNG-073</t>
  </si>
  <si>
    <t>张艳涛</t>
  </si>
  <si>
    <t>调配工段长</t>
  </si>
  <si>
    <t>420821197509026082</t>
  </si>
  <si>
    <t>湖北省京山县永隆镇聂畈村六组68号</t>
  </si>
  <si>
    <t>永隆纺织品有限公司</t>
  </si>
  <si>
    <t>普工</t>
  </si>
  <si>
    <t>陈志珍</t>
  </si>
  <si>
    <t>永隆二中</t>
  </si>
  <si>
    <t>吴志军</t>
  </si>
  <si>
    <t>wxid_2huwhuk5iokg22</t>
  </si>
  <si>
    <t>6212261809001263527</t>
  </si>
  <si>
    <t>H38096179</t>
  </si>
  <si>
    <t>6230 5505 6775 7037</t>
  </si>
  <si>
    <t>TYNG-088</t>
  </si>
  <si>
    <t>范燕东</t>
  </si>
  <si>
    <t>灌装工段长</t>
  </si>
  <si>
    <t>420801199607204253</t>
  </si>
  <si>
    <t>湖北省荆门市东宝区屈家岭管理区蔡垱分场回龙寺0025号098</t>
  </si>
  <si>
    <t xml:space="preserve">江苏华硕电脑有限公司
</t>
  </si>
  <si>
    <t>荆州东方中等职业技校</t>
  </si>
  <si>
    <t>厨师</t>
  </si>
  <si>
    <t>范同功</t>
  </si>
  <si>
    <t>2024/10/6-2025/10/5</t>
  </si>
  <si>
    <t>wxid_0123621237312</t>
  </si>
  <si>
    <t>6212261809005612455</t>
  </si>
  <si>
    <t>H16456735</t>
  </si>
  <si>
    <t>6228231605176526661</t>
  </si>
  <si>
    <t>TYNG-123</t>
  </si>
  <si>
    <t>孟建立</t>
  </si>
  <si>
    <t>后包工段长</t>
  </si>
  <si>
    <t>422432197111306518</t>
  </si>
  <si>
    <t>湖北省荆门市屈家岭管理区畜牧分场梭灯队0019号038</t>
  </si>
  <si>
    <t xml:space="preserve">黄石中粮军垦养猪场
</t>
  </si>
  <si>
    <t>技术员</t>
  </si>
  <si>
    <t>畜牧分场中学</t>
  </si>
  <si>
    <t>张翠红</t>
  </si>
  <si>
    <t>mengjianli13457890</t>
  </si>
  <si>
    <t>6215581809007519738</t>
  </si>
  <si>
    <t>H37316029</t>
  </si>
  <si>
    <t>6217211809005207009</t>
  </si>
  <si>
    <t>TYNG-107</t>
  </si>
  <si>
    <t>杀菌机/卧离机</t>
  </si>
  <si>
    <t>420801197602274069</t>
  </si>
  <si>
    <t>湖北省荆门市东宝区屈家岭管理区畜禽公司199号</t>
  </si>
  <si>
    <t>湖北省荆门市东宝区屈家岭管理区美其巷</t>
  </si>
  <si>
    <t>安能（屈家岭）生物质发电有限公司</t>
  </si>
  <si>
    <t>龚永光</t>
  </si>
  <si>
    <t>检验检测机构从业人员</t>
  </si>
  <si>
    <t>wxid_qulf7nm1k6wv22</t>
  </si>
  <si>
    <t>6212261809003951020</t>
  </si>
  <si>
    <t>H36438964</t>
  </si>
  <si>
    <t>6228231609007675374</t>
  </si>
  <si>
    <t>TYNG-120</t>
  </si>
  <si>
    <t>陈爱蓉</t>
  </si>
  <si>
    <t>包装（贴盖机）</t>
  </si>
  <si>
    <t>420821197404266047</t>
  </si>
  <si>
    <t>湖北省京山县永隆镇曾口村007号</t>
  </si>
  <si>
    <t>浙江金华纸箱厂</t>
  </si>
  <si>
    <t>永隆中学</t>
  </si>
  <si>
    <t>李发银</t>
  </si>
  <si>
    <t>养殖</t>
  </si>
  <si>
    <t>car15872915345</t>
  </si>
  <si>
    <t>6215581809004820113</t>
  </si>
  <si>
    <t>H38700743</t>
  </si>
  <si>
    <t>6230 5505 8438 0409</t>
  </si>
  <si>
    <t>TYNG-122</t>
  </si>
  <si>
    <t>汪先富</t>
  </si>
  <si>
    <t>杀菌工段长</t>
  </si>
  <si>
    <t>420982197004200055</t>
  </si>
  <si>
    <t>湖北安陆</t>
  </si>
  <si>
    <t>湖北省安陆市东城经济开发区一中东路2号5栋2单元301室</t>
  </si>
  <si>
    <t>湖北岑铭堂食品有限公司</t>
  </si>
  <si>
    <t>前处理带班</t>
  </si>
  <si>
    <t>黄贵荣</t>
  </si>
  <si>
    <t>wxid_2msve2efwub212</t>
  </si>
  <si>
    <t>6215581809006831951</t>
  </si>
  <si>
    <t>K17027694</t>
  </si>
  <si>
    <t>6217567600004086647</t>
  </si>
  <si>
    <t>TYNG-087</t>
  </si>
  <si>
    <t>康俊</t>
  </si>
  <si>
    <t>420801197609104273</t>
  </si>
  <si>
    <t>湖北省荆门市东宝区屈家岭管理区屈岭侧路7座二单元410</t>
  </si>
  <si>
    <t>湖北省荆门市东宝区屈家岭管理区步行街阳光大药房楼上</t>
  </si>
  <si>
    <t>温州民企</t>
  </si>
  <si>
    <t>车间管理</t>
  </si>
  <si>
    <t>康林阁</t>
  </si>
  <si>
    <t>kj19760827</t>
  </si>
  <si>
    <t>6215581809006631179</t>
  </si>
  <si>
    <t xml:space="preserve">H40639371 </t>
  </si>
  <si>
    <t>6228381609007857279</t>
  </si>
  <si>
    <t>TYNG-196</t>
  </si>
  <si>
    <t>刘芬芬</t>
  </si>
  <si>
    <t>包装（开箱机/理瓶机）</t>
  </si>
  <si>
    <t>420801198306214269</t>
  </si>
  <si>
    <t>湖北省荆门市东宝区屈家岭管理区蓝天巷37座4号</t>
  </si>
  <si>
    <t xml:space="preserve">上海华生电动车制造有限公司
</t>
  </si>
  <si>
    <t>郜森委</t>
  </si>
  <si>
    <t>刘四平</t>
  </si>
  <si>
    <t>15827853910</t>
  </si>
  <si>
    <t>2023/10/1-2026/9/30</t>
  </si>
  <si>
    <t>丁超美</t>
  </si>
  <si>
    <t>wxid_44azy67clnml22</t>
  </si>
  <si>
    <t>6212261809005693513</t>
  </si>
  <si>
    <t>H36271375</t>
  </si>
  <si>
    <t>6228231609005608377</t>
  </si>
  <si>
    <t>TYNG-224</t>
  </si>
  <si>
    <t>张德艳</t>
  </si>
  <si>
    <t>杀菌机/装箱机</t>
  </si>
  <si>
    <t>420801198610184260</t>
  </si>
  <si>
    <t>湖北宜昌</t>
  </si>
  <si>
    <t xml:space="preserve">湖北省荆门市东宝区屈家岭管理区畜牧分场三合队290号 </t>
  </si>
  <si>
    <t>湖北五三农场绿普旺食品有限公司</t>
  </si>
  <si>
    <t>孙琼</t>
  </si>
  <si>
    <t>2023/12/1-2026/11/30</t>
  </si>
  <si>
    <t>zy15271795054</t>
  </si>
  <si>
    <t>6215581809007795791</t>
  </si>
  <si>
    <t>H40949118</t>
  </si>
  <si>
    <t>6228231609018649871</t>
  </si>
  <si>
    <t>TYNG-236</t>
  </si>
  <si>
    <t>聂勇军</t>
  </si>
  <si>
    <t>调配/打浆段</t>
  </si>
  <si>
    <t>422432197312256350</t>
  </si>
  <si>
    <t>湖北省京山县永隆镇聂畈村六组67号</t>
  </si>
  <si>
    <t>思方达交通工程（湖北）有限公司</t>
  </si>
  <si>
    <t>京山卫校</t>
  </si>
  <si>
    <t>医学</t>
  </si>
  <si>
    <t>曾利华</t>
  </si>
  <si>
    <t>聂成龙</t>
  </si>
  <si>
    <t>2025/2/24-2026/2/23</t>
  </si>
  <si>
    <t>nyj731221</t>
  </si>
  <si>
    <t>6215581809007515355</t>
  </si>
  <si>
    <t>TYNG-238</t>
  </si>
  <si>
    <t>杨智军</t>
  </si>
  <si>
    <t>调配</t>
  </si>
  <si>
    <t>422432197309216518</t>
  </si>
  <si>
    <t>湖北省荆门市东宝区屈家岭管理区水泥厂172号</t>
  </si>
  <si>
    <t>湖北省荆门市东宝区屈家岭管理区回龙寺</t>
  </si>
  <si>
    <t>快递员</t>
  </si>
  <si>
    <t>王春雷</t>
  </si>
  <si>
    <t>2025/3/1-2026/2/28</t>
  </si>
  <si>
    <t>y19533567024</t>
  </si>
  <si>
    <t>6215591809000214806</t>
  </si>
  <si>
    <t>H4110415X</t>
  </si>
  <si>
    <t>6230 5505 8641 5773</t>
  </si>
  <si>
    <t>TYNG-239</t>
  </si>
  <si>
    <t>喷码机</t>
  </si>
  <si>
    <t>420621198104150644</t>
  </si>
  <si>
    <t>湖北襄樊</t>
  </si>
  <si>
    <t>湖北省襄樊市襄城区欧庙镇李老村1组</t>
  </si>
  <si>
    <t xml:space="preserve">京山汽车配件（和承）有限公司
</t>
  </si>
  <si>
    <t>襄樊中学</t>
  </si>
  <si>
    <t>2024/3/11-2025/3/10</t>
  </si>
  <si>
    <t>wxid_y7418qr1ui5j22</t>
  </si>
  <si>
    <t>6215581809007516916</t>
  </si>
  <si>
    <t>H06135612</t>
  </si>
  <si>
    <t>6217211809000284888</t>
  </si>
  <si>
    <t>TYNG-186</t>
  </si>
  <si>
    <t>赵建礼</t>
  </si>
  <si>
    <t>422432196904046555</t>
  </si>
  <si>
    <t>湖北省荆门市东宝区屈家岭管理区畜牧分场乳品奶牛厂0010号040</t>
  </si>
  <si>
    <t>湖北省荆门市东宝区屈家岭管理区徽商国际城</t>
  </si>
  <si>
    <t>赵伟</t>
  </si>
  <si>
    <t>刘玉娥</t>
  </si>
  <si>
    <t>2024/4/13-2025/4/12</t>
  </si>
  <si>
    <t>wxid_hpw3byfgf72922</t>
  </si>
  <si>
    <t>6215591809000266020</t>
  </si>
  <si>
    <t>H12804245</t>
  </si>
  <si>
    <t>6228231605061552368</t>
  </si>
  <si>
    <t>TYNG-278</t>
  </si>
  <si>
    <t>马国华</t>
  </si>
  <si>
    <t>422432197401016551</t>
  </si>
  <si>
    <t>湖北省荆门市东宝区屈家岭管理区畜牧分场乳品奶牛厂170号</t>
  </si>
  <si>
    <t>湖北省荆门市东宝区屈家岭管理区时代星辰</t>
  </si>
  <si>
    <t xml:space="preserve">湖北双胞胎饲料有限公司
</t>
  </si>
  <si>
    <t>葛素红</t>
  </si>
  <si>
    <t>马宇翔</t>
  </si>
  <si>
    <t>2024/5/10-2025/5/9</t>
  </si>
  <si>
    <t>6222031809003271955</t>
  </si>
  <si>
    <t>H12799538</t>
  </si>
  <si>
    <t>6228231605061506661</t>
  </si>
  <si>
    <t>TYNG-305</t>
  </si>
  <si>
    <t>舒春霞</t>
  </si>
  <si>
    <t>422432197703015028</t>
  </si>
  <si>
    <t>湖北省京山县雁门口镇长岗村二组11号</t>
  </si>
  <si>
    <t>普丽盛三环食品</t>
  </si>
  <si>
    <t>雁门口中学</t>
  </si>
  <si>
    <t>邓龙春</t>
  </si>
  <si>
    <t>6215581809007613531</t>
  </si>
  <si>
    <t>H37380493</t>
  </si>
  <si>
    <t>6217211809005592152</t>
  </si>
  <si>
    <t>TYNG-337</t>
  </si>
  <si>
    <t>孟运香</t>
  </si>
  <si>
    <t>包装（开箱机）/批次罐</t>
  </si>
  <si>
    <t>422432197512095520</t>
  </si>
  <si>
    <t>湖北省京山县永隆镇黎家大岭村五组59号</t>
  </si>
  <si>
    <t>湖北宝得瑞食品有限公司</t>
  </si>
  <si>
    <t>黎敬元</t>
  </si>
  <si>
    <t>wxid_3o7tkvbilyxe22</t>
  </si>
  <si>
    <t>6215581809007795213</t>
  </si>
  <si>
    <t>TYNG-341</t>
  </si>
  <si>
    <t>李正军</t>
  </si>
  <si>
    <t>包装（封箱机）</t>
  </si>
  <si>
    <t>430681197312095719</t>
  </si>
  <si>
    <t>湖南省汨罗市三江镇十全村七组</t>
  </si>
  <si>
    <t>滴滴跑车</t>
  </si>
  <si>
    <t>汨罗五中</t>
  </si>
  <si>
    <t>湖南省岳阳市汨罗市长乐镇</t>
  </si>
  <si>
    <t>胡荣</t>
  </si>
  <si>
    <t>李能</t>
  </si>
  <si>
    <t>6215581809007880379</t>
  </si>
  <si>
    <t>H39666399</t>
  </si>
  <si>
    <t>6217211809005206894</t>
  </si>
  <si>
    <t>TYNG-353</t>
  </si>
  <si>
    <t>邓明军</t>
  </si>
  <si>
    <t>420821197407114014</t>
  </si>
  <si>
    <t>湖北省荆门市东宝区屈家岭管理区畜牧分场赵冲队0020号041</t>
  </si>
  <si>
    <t>湖北省荆门市东宝区屈家岭管理区万佳华府一期</t>
  </si>
  <si>
    <t xml:space="preserve">荆门彩富机械责任有限公司
</t>
  </si>
  <si>
    <t>张红</t>
  </si>
  <si>
    <t>6222031809001517458</t>
  </si>
  <si>
    <t>TYNG-360</t>
  </si>
  <si>
    <t>张留栓</t>
  </si>
  <si>
    <t>灌装</t>
  </si>
  <si>
    <t>410426197208120110</t>
  </si>
  <si>
    <t>湖北省荆门市东宝区屈家岭管理区何集分场西湖队特1号</t>
  </si>
  <si>
    <t>湖北省荆门市东宝屈家岭管理区司法局</t>
  </si>
  <si>
    <t>咸宁金盛兰钢铁厂</t>
  </si>
  <si>
    <t>配料员</t>
  </si>
  <si>
    <t>尚爱香</t>
  </si>
  <si>
    <t>6215591809001797833</t>
  </si>
  <si>
    <t>H32341225</t>
  </si>
  <si>
    <t>6230 5505 6534 7914</t>
  </si>
  <si>
    <t>2024/2</t>
  </si>
  <si>
    <t>TYNG-363</t>
  </si>
  <si>
    <t>谢杰杰</t>
  </si>
  <si>
    <t>420821198409176037</t>
  </si>
  <si>
    <t>湖北省京山市永隆镇新河扣村三组52号</t>
  </si>
  <si>
    <t xml:space="preserve">湖北品田包装有限公司
</t>
  </si>
  <si>
    <t>谢光辉</t>
  </si>
  <si>
    <t>谢晓霞</t>
  </si>
  <si>
    <t>兄妹</t>
  </si>
  <si>
    <t>xie15220238192</t>
  </si>
  <si>
    <t>6222034000012250944</t>
  </si>
  <si>
    <t>TYNG-366</t>
  </si>
  <si>
    <t>蔡军霞</t>
  </si>
  <si>
    <t>42082119781205502X</t>
  </si>
  <si>
    <t>湖北省荆门市东宝区屈家岭管理区园艺分场王家榜队43号</t>
  </si>
  <si>
    <t xml:space="preserve">湖北聚汇农业开发有限公司
</t>
  </si>
  <si>
    <t>曹燕</t>
  </si>
  <si>
    <t>曹刚</t>
  </si>
  <si>
    <t>2024/6/1-2025/5/31</t>
  </si>
  <si>
    <t>a2047038959</t>
  </si>
  <si>
    <t>6212263602085492148</t>
  </si>
  <si>
    <t>H40513808</t>
  </si>
  <si>
    <t>6230 5505 8640 2037</t>
  </si>
  <si>
    <t>TYNG-392</t>
  </si>
  <si>
    <t>陈玲</t>
  </si>
  <si>
    <t>42082119810504502X</t>
  </si>
  <si>
    <t>湖北省京山县雁门口镇常家山村六组37号</t>
  </si>
  <si>
    <t>宝盈商务宾馆</t>
  </si>
  <si>
    <t>前台服务员</t>
  </si>
  <si>
    <t>丁先生</t>
  </si>
  <si>
    <t>荆州市物资职工中等专业学校</t>
  </si>
  <si>
    <t>计算机应用</t>
  </si>
  <si>
    <t>尹立庆</t>
  </si>
  <si>
    <t>陈兴贵</t>
  </si>
  <si>
    <t>6215591809001508834</t>
  </si>
  <si>
    <t>TYNG-394</t>
  </si>
  <si>
    <t>王庆丰</t>
  </si>
  <si>
    <t>420821197612056095</t>
  </si>
  <si>
    <t>湖北省京山县永隆镇高湖街二组35号</t>
  </si>
  <si>
    <t>武汉福兴中通</t>
  </si>
  <si>
    <t>蔡晶</t>
  </si>
  <si>
    <t>花园中学</t>
  </si>
  <si>
    <t>王雪柔</t>
  </si>
  <si>
    <t>聂先梅</t>
  </si>
  <si>
    <t>WQF19761015</t>
  </si>
  <si>
    <t>6222031809002081603</t>
  </si>
  <si>
    <t>TYNG-403</t>
  </si>
  <si>
    <t>何辉</t>
  </si>
  <si>
    <t>杯榨机</t>
  </si>
  <si>
    <t>42082119710207551X</t>
  </si>
  <si>
    <t>湖北省京山县石龙镇何垱村六组16号</t>
  </si>
  <si>
    <t>湖北省荆门市屈家岭管理区卧龙山庄</t>
  </si>
  <si>
    <t>耐特胶业</t>
  </si>
  <si>
    <t>范元香</t>
  </si>
  <si>
    <t>2024/3/18-2025/3/17</t>
  </si>
  <si>
    <t>6222031809002254879</t>
  </si>
  <si>
    <t>2024/12</t>
  </si>
  <si>
    <t>TYNG-220</t>
  </si>
  <si>
    <t>甄景萍</t>
  </si>
  <si>
    <t>卫生员</t>
  </si>
  <si>
    <t>420526197903041227</t>
  </si>
  <si>
    <t>湖北省兴山县古夫镇中阳垭村1组38号</t>
  </si>
  <si>
    <t>屈家岭管理区畜牧分场赵坡队二组073</t>
  </si>
  <si>
    <t>宜昌市兴山县实验小学</t>
  </si>
  <si>
    <t>赵栋武</t>
  </si>
  <si>
    <t>ZJP15908642506</t>
  </si>
  <si>
    <t>6215591809001686770</t>
  </si>
  <si>
    <t>TYNG-413</t>
  </si>
  <si>
    <t>徐勇</t>
  </si>
  <si>
    <t>打浆机/浓缩</t>
  </si>
  <si>
    <t>420801198907184034</t>
  </si>
  <si>
    <t>湖北省荆门市东宝区屈家岭管理区畜牧分场梭灯队375号</t>
  </si>
  <si>
    <t>好敏味餐饮公司</t>
  </si>
  <si>
    <t>朱钱</t>
  </si>
  <si>
    <t>徐清友</t>
  </si>
  <si>
    <t>务农</t>
  </si>
  <si>
    <t>黎琼丽</t>
  </si>
  <si>
    <t>6215593202038711035</t>
  </si>
  <si>
    <t>TYNG-417</t>
  </si>
  <si>
    <t>严凤</t>
  </si>
  <si>
    <t>杀菌机</t>
  </si>
  <si>
    <t>420801198312064025</t>
  </si>
  <si>
    <t>湖北省荆门市东宝区屈家岭管理区中心巷3号号</t>
  </si>
  <si>
    <t>湖北省荆门市东宝区屈家岭管理区屈岭路11号</t>
  </si>
  <si>
    <t>上海依必安电动马达公司</t>
  </si>
  <si>
    <t>焊接工</t>
  </si>
  <si>
    <t>杨文涛</t>
  </si>
  <si>
    <t>6215581809005818967</t>
  </si>
  <si>
    <t>TYNG-420</t>
  </si>
  <si>
    <t>马景云</t>
  </si>
  <si>
    <t>422432198205216526</t>
  </si>
  <si>
    <t>湖北省荆门市东宝区屈家岭管理区罐头厂292号</t>
  </si>
  <si>
    <t>湖北省荆门市屈家岭管理区回龙寺社区二十四层1903号</t>
  </si>
  <si>
    <t>五三农业银行</t>
  </si>
  <si>
    <t>段红雨</t>
  </si>
  <si>
    <t>6222021809006418738</t>
  </si>
  <si>
    <t>TYNG-444</t>
  </si>
  <si>
    <t>孙小虎</t>
  </si>
  <si>
    <t>工程师</t>
  </si>
  <si>
    <t>34110319980513321X</t>
  </si>
  <si>
    <t>安徽滁州</t>
  </si>
  <si>
    <t>安徽省滁州市南谯区黄泥岗镇街道村雷西组56号</t>
  </si>
  <si>
    <t xml:space="preserve">牛牛乳业有限责任公司
</t>
  </si>
  <si>
    <t>李家友</t>
  </si>
  <si>
    <t>滁州一中</t>
  </si>
  <si>
    <t>孙志山</t>
  </si>
  <si>
    <t>2024/9/9-2025/9/8</t>
  </si>
  <si>
    <t>SY202205</t>
  </si>
  <si>
    <t>6215581809007517286</t>
  </si>
  <si>
    <t>H32912446</t>
  </si>
  <si>
    <t>6217211809005129708</t>
  </si>
  <si>
    <t>TYNG-084</t>
  </si>
  <si>
    <t>王志兰</t>
  </si>
  <si>
    <t>质检副经理</t>
  </si>
  <si>
    <t>422432196412236520</t>
  </si>
  <si>
    <t>湖北钟祥</t>
  </si>
  <si>
    <t>湖北省荆门市东宝区屈家岭管理区制药厂86</t>
  </si>
  <si>
    <t xml:space="preserve">湖北金龙福药业有限公司
</t>
  </si>
  <si>
    <t>副总</t>
  </si>
  <si>
    <t>中国药科大学</t>
  </si>
  <si>
    <t>药物分析</t>
  </si>
  <si>
    <t>杜平</t>
  </si>
  <si>
    <t>2024/5/28-2025/5/27</t>
  </si>
  <si>
    <t>wxid_jvmdxo5nlian22</t>
  </si>
  <si>
    <t>6222081809000491043</t>
  </si>
  <si>
    <t>TYNG-021</t>
  </si>
  <si>
    <t>范小艳</t>
  </si>
  <si>
    <t>微生物检测</t>
  </si>
  <si>
    <t>420821198503206087</t>
  </si>
  <si>
    <t>湖北省荆门市东宝区屈家岭管理区屈岭路33座3单元407号</t>
  </si>
  <si>
    <t>湖北省荆门市东宝区屈家岭管理区工商银行楼</t>
  </si>
  <si>
    <t>生产部长</t>
  </si>
  <si>
    <t>杨立涛</t>
  </si>
  <si>
    <t>江西中医学院科技学院</t>
  </si>
  <si>
    <t>药学</t>
  </si>
  <si>
    <t>食品检验工五级</t>
  </si>
  <si>
    <t>邓钊</t>
  </si>
  <si>
    <t>邓明福</t>
  </si>
  <si>
    <t>wxid_wpk3a90m0xw822</t>
  </si>
  <si>
    <t>6222021809006407459</t>
  </si>
  <si>
    <t>H12721992</t>
  </si>
  <si>
    <t>6228231605060761960</t>
  </si>
  <si>
    <t>TYNG-212</t>
  </si>
  <si>
    <t>曾珲</t>
  </si>
  <si>
    <t>13657159523</t>
  </si>
  <si>
    <t>420821198402155524</t>
  </si>
  <si>
    <t>湖北省荆门市东宝区屈家岭管理区何集办事处王台队王台组8号</t>
  </si>
  <si>
    <t xml:space="preserve">钟祥武住电装有限公司
</t>
  </si>
  <si>
    <t>QA</t>
  </si>
  <si>
    <t>永隆高中</t>
  </si>
  <si>
    <t>王俊</t>
  </si>
  <si>
    <t>wxid_rv1xf4clkmqp21</t>
  </si>
  <si>
    <t>6222020200013352907</t>
  </si>
  <si>
    <t>H12768678</t>
  </si>
  <si>
    <t>6228231605061213763</t>
  </si>
  <si>
    <t>TYNG-302</t>
  </si>
  <si>
    <t>刘小平</t>
  </si>
  <si>
    <t>420801198409294265</t>
  </si>
  <si>
    <t>湖北省荆门市东宝区屈家岭管理区养鹿场0014号095</t>
  </si>
  <si>
    <t>屈家岭徽商国际幼儿园</t>
  </si>
  <si>
    <t>保育员</t>
  </si>
  <si>
    <t>李莉</t>
  </si>
  <si>
    <t>财会</t>
  </si>
  <si>
    <t>蔡伟</t>
  </si>
  <si>
    <t>刘桂萍</t>
  </si>
  <si>
    <t>LXP15527238623</t>
  </si>
  <si>
    <t>6212261809005785913</t>
  </si>
  <si>
    <t>H17100028</t>
  </si>
  <si>
    <t>6230 5505 1744 1658</t>
  </si>
  <si>
    <t>TYNG-303</t>
  </si>
  <si>
    <t>王金慧</t>
  </si>
  <si>
    <t>420801198305024420</t>
  </si>
  <si>
    <t xml:space="preserve">湖北省荆门市东宝区屈家岭管理区何集分场熊桥队058 </t>
  </si>
  <si>
    <t>湖北省荆门市东宝区屈家岭管理区运输队</t>
  </si>
  <si>
    <t>李芳</t>
  </si>
  <si>
    <t>李保健</t>
  </si>
  <si>
    <t>wangjin13477570879</t>
  </si>
  <si>
    <t>6217231809001308112</t>
  </si>
  <si>
    <t>H41833299</t>
  </si>
  <si>
    <t>6228231609017482472</t>
  </si>
  <si>
    <t>TYNG-309</t>
  </si>
  <si>
    <t>孙留辉</t>
  </si>
  <si>
    <t>质检主管</t>
  </si>
  <si>
    <t>412727198801260084</t>
  </si>
  <si>
    <t>湖北省荆门市东宝区屈家岭管理区建设路21座30号</t>
  </si>
  <si>
    <t xml:space="preserve">广东省深圳市宝安区龙华富士康
</t>
  </si>
  <si>
    <t>品控员</t>
  </si>
  <si>
    <t>文龙</t>
  </si>
  <si>
    <t>湖北邮电技术学院</t>
  </si>
  <si>
    <t>2024/11/11-2025/11/10</t>
  </si>
  <si>
    <t>huihui15872908802</t>
  </si>
  <si>
    <t>6215591809000716065</t>
  </si>
  <si>
    <t>H41412777</t>
  </si>
  <si>
    <t>6217211809005974178</t>
  </si>
  <si>
    <t>TYNG-287</t>
  </si>
  <si>
    <t>郑芬</t>
  </si>
  <si>
    <t>15071986344</t>
  </si>
  <si>
    <t>420923198506110062</t>
  </si>
  <si>
    <t>湖北省荆门市东宝区屈家岭管理区园艺分场综合厂0016号107</t>
  </si>
  <si>
    <t xml:space="preserve">湖北农谷环保科技有限公司
</t>
  </si>
  <si>
    <t>湖北省孝感市工业学校</t>
  </si>
  <si>
    <t>模具</t>
  </si>
  <si>
    <t>黎振</t>
  </si>
  <si>
    <t>ZF_253156880</t>
  </si>
  <si>
    <t>6212261809005843332</t>
  </si>
  <si>
    <t>H1275927X</t>
  </si>
  <si>
    <t>6228231605061124366</t>
  </si>
  <si>
    <t>TYNG-431</t>
  </si>
  <si>
    <t>闵炎标</t>
  </si>
  <si>
    <t>质量部</t>
  </si>
  <si>
    <t>质量经理</t>
  </si>
  <si>
    <t>422427197508150119</t>
  </si>
  <si>
    <t>湖北省荆门市东宝区长宁大道81号</t>
  </si>
  <si>
    <t>湖北省荆门市金龙泉大道北辰花苑</t>
  </si>
  <si>
    <t>熊猫精酿（安顺）酒业有限公司</t>
  </si>
  <si>
    <t>陈彪</t>
  </si>
  <si>
    <t>湖北工学院</t>
  </si>
  <si>
    <t>食品检验</t>
  </si>
  <si>
    <t>质量专业技术人员中级</t>
  </si>
  <si>
    <t>刘子英</t>
  </si>
  <si>
    <t>2024/7/5-2027/7/4</t>
  </si>
  <si>
    <t>minyanbiao</t>
  </si>
  <si>
    <t>6212261809002661588</t>
  </si>
  <si>
    <t>2025/6</t>
  </si>
  <si>
    <t>TYNG-434</t>
  </si>
  <si>
    <t>程佳琪</t>
  </si>
  <si>
    <t>体系员</t>
  </si>
  <si>
    <t>420981200203093828</t>
  </si>
  <si>
    <t>湖北孝感</t>
  </si>
  <si>
    <t>湖北省应城市田店镇潘马村赵家湾19-1</t>
  </si>
  <si>
    <t>湖北省应城市城中街道</t>
  </si>
  <si>
    <t>团员</t>
  </si>
  <si>
    <t>荆楚理工学院</t>
  </si>
  <si>
    <t>食品科学与工程</t>
  </si>
  <si>
    <t>程小东</t>
  </si>
  <si>
    <t>卢尚</t>
  </si>
  <si>
    <t>2024/10/22-2025/10/21</t>
  </si>
  <si>
    <t>胡骏涛介绍</t>
  </si>
  <si>
    <t>qiqibushibingqiling</t>
  </si>
  <si>
    <t>6217231812005433522</t>
  </si>
  <si>
    <t>2024/7</t>
  </si>
  <si>
    <t>TYNG-435</t>
  </si>
  <si>
    <t>时丽平</t>
  </si>
  <si>
    <t>42088119950425812X</t>
  </si>
  <si>
    <t>湖北省钟祥市丰乐镇丰岭村四组35号</t>
  </si>
  <si>
    <t>湖北省荆门市屈家岭管理区回龙寺</t>
  </si>
  <si>
    <t xml:space="preserve">湖北向荣塑业有限公司
</t>
  </si>
  <si>
    <t>统计文员</t>
  </si>
  <si>
    <t>王路</t>
  </si>
  <si>
    <t>计算机信息管理</t>
  </si>
  <si>
    <t>张天宇</t>
  </si>
  <si>
    <t>2025/1/3-2026/1/2</t>
  </si>
  <si>
    <t>身体原因</t>
  </si>
  <si>
    <t>s13451168027</t>
  </si>
  <si>
    <t>6215581809005702443</t>
  </si>
  <si>
    <t>2025/1</t>
  </si>
  <si>
    <t>TYNG-436</t>
  </si>
  <si>
    <t>胡宏林</t>
  </si>
  <si>
    <t>研发部</t>
  </si>
  <si>
    <t>研发助理</t>
  </si>
  <si>
    <t>420922200206235318</t>
  </si>
  <si>
    <t>湖北武汉</t>
  </si>
  <si>
    <t>武汉市洪山区南李路28号</t>
  </si>
  <si>
    <t>湖北省武汉市东西湖区吴家山街道九坤五环华城</t>
  </si>
  <si>
    <t>湖北工业大学</t>
  </si>
  <si>
    <t>胡自平</t>
  </si>
  <si>
    <t>2024/10/15-2025/10/14</t>
  </si>
  <si>
    <t>校招</t>
  </si>
  <si>
    <t>lyly50201314</t>
  </si>
  <si>
    <t>6222031809003012938</t>
  </si>
  <si>
    <t>万怀进</t>
  </si>
  <si>
    <t>420802200206300369</t>
  </si>
  <si>
    <t>湖北省荆门市东宝区东光路1号</t>
  </si>
  <si>
    <t>湖北省荆门市东宝区天鹅山庄38栋</t>
  </si>
  <si>
    <t>海南大学</t>
  </si>
  <si>
    <t>生物技术</t>
  </si>
  <si>
    <t>黄金枝</t>
  </si>
  <si>
    <t>万云峰</t>
  </si>
  <si>
    <t>whj2519235203</t>
  </si>
  <si>
    <t>6215591809000690054</t>
  </si>
  <si>
    <t>TYNG-438</t>
  </si>
  <si>
    <t>刘海兵</t>
  </si>
  <si>
    <t>42080119700922401X</t>
  </si>
  <si>
    <t>湖北荆门市屈家岭管理区赵坡社区</t>
  </si>
  <si>
    <t>武汉全香园食品有限公司</t>
  </si>
  <si>
    <t>电工四级(中级工）</t>
  </si>
  <si>
    <t>张明菊</t>
  </si>
  <si>
    <t>2025/3/11-2026/3/10</t>
  </si>
  <si>
    <t>a159726250</t>
  </si>
  <si>
    <t>42080119700922401x</t>
  </si>
  <si>
    <t>TYNG-439</t>
  </si>
  <si>
    <t>刘玉麒</t>
  </si>
  <si>
    <t>生产部储备</t>
  </si>
  <si>
    <t>浓缩塔储备工</t>
  </si>
  <si>
    <t>4209001200109037413</t>
  </si>
  <si>
    <t>湖北随县</t>
  </si>
  <si>
    <t>湖北省随县三里岗镇饶山街9号</t>
  </si>
  <si>
    <t>襄阳鲁花浓香花生油有限公司</t>
  </si>
  <si>
    <t>陕西理工大学</t>
  </si>
  <si>
    <t>食品质量与安全</t>
  </si>
  <si>
    <t>学士学位证书</t>
  </si>
  <si>
    <t>刘军</t>
  </si>
  <si>
    <t>sxlgdx617</t>
  </si>
  <si>
    <t>6212262606001660390</t>
  </si>
  <si>
    <t>劳务（2-5）</t>
  </si>
  <si>
    <t>TYNG-440</t>
  </si>
  <si>
    <t>程传祥</t>
  </si>
  <si>
    <t>试用期操作工</t>
  </si>
  <si>
    <t>42243119700915681X</t>
  </si>
  <si>
    <t>湖北省钟祥市客店镇官弯村四组</t>
  </si>
  <si>
    <t>湖北田野农谷生物科技有限公司宿舍</t>
  </si>
  <si>
    <t>彭中莲</t>
  </si>
  <si>
    <t>2025/2/17-2026/2/16</t>
  </si>
  <si>
    <t>6212261503002693697</t>
  </si>
  <si>
    <t>劳务</t>
  </si>
  <si>
    <t>TYNG-441</t>
  </si>
  <si>
    <t>袁旭东</t>
  </si>
  <si>
    <t>422428197710170355</t>
  </si>
  <si>
    <t>湖北省荆门市屈家岭管理区创业路157座</t>
  </si>
  <si>
    <t>东莞汇雅家县厂</t>
  </si>
  <si>
    <t>天门电大</t>
  </si>
  <si>
    <t>机械化工</t>
  </si>
  <si>
    <t>袁中青</t>
  </si>
  <si>
    <t>李娟</t>
  </si>
  <si>
    <t>2025/3/20-2026/3/19</t>
  </si>
  <si>
    <t>q15o6283859</t>
  </si>
  <si>
    <t>6222031809003435766</t>
  </si>
  <si>
    <t>TYNG-443</t>
  </si>
  <si>
    <t>潘国友</t>
  </si>
  <si>
    <t>422432197206136515</t>
  </si>
  <si>
    <t>湖北荆门市东宝区屈家岭管理区创业路50号</t>
  </si>
  <si>
    <t>湖北省荆门市东宝区屈家岭管理区创业路50号</t>
  </si>
  <si>
    <t>潘磊</t>
  </si>
  <si>
    <t>子女</t>
  </si>
  <si>
    <t>6222031809003435741</t>
  </si>
  <si>
    <t>灵活缴纳</t>
  </si>
  <si>
    <t>杨太琴</t>
  </si>
  <si>
    <t>500229198405152722</t>
  </si>
  <si>
    <t>湖北省京山市石龙镇石龙水库管理处10号</t>
  </si>
  <si>
    <t>伍亭杨</t>
  </si>
  <si>
    <t>6215581809007648826</t>
  </si>
  <si>
    <t>单宫廷</t>
  </si>
  <si>
    <t>34222119960918553X</t>
  </si>
  <si>
    <t>安徽砀山</t>
  </si>
  <si>
    <t>安徽省砀山县良梨镇单庄自然村008</t>
  </si>
  <si>
    <t>宫廷御膳房</t>
  </si>
  <si>
    <t>北京信息科技大学</t>
  </si>
  <si>
    <t>计算机科学与技术</t>
  </si>
  <si>
    <t>2019.03.01</t>
  </si>
  <si>
    <t>2024.01.08</t>
  </si>
  <si>
    <t>单其稳</t>
  </si>
  <si>
    <t>2025/3/25-2026/3/24</t>
  </si>
  <si>
    <t>内部推荐</t>
  </si>
  <si>
    <t>shan689shan689</t>
  </si>
  <si>
    <t>6222031809003435691</t>
  </si>
  <si>
    <t>李炎炎</t>
  </si>
  <si>
    <t>420821198902186044</t>
  </si>
  <si>
    <t>湖北京山市永隆镇</t>
  </si>
  <si>
    <t>加油站工作员</t>
  </si>
  <si>
    <t>李浩</t>
  </si>
  <si>
    <t>个体工商户</t>
  </si>
  <si>
    <t>2025/3/1-2026/2/29</t>
  </si>
  <si>
    <t>2026/2/29</t>
  </si>
  <si>
    <t>wxid_fk64bvti6kyu22</t>
  </si>
  <si>
    <t>6222031809003434341</t>
  </si>
  <si>
    <t>考虑中</t>
  </si>
  <si>
    <t>试用期2025.6转</t>
  </si>
  <si>
    <t>娄艳霞</t>
  </si>
  <si>
    <t>410222198903264069</t>
  </si>
  <si>
    <t>湖北省荆门市东宝区屈家岭管理区何集办事处熊桥队寇台组19号</t>
  </si>
  <si>
    <t>自由创业</t>
  </si>
  <si>
    <t>张阳</t>
  </si>
  <si>
    <t>熊桥</t>
  </si>
  <si>
    <t>2025/3/18-2026/3/17</t>
  </si>
  <si>
    <t>q13677231138</t>
  </si>
  <si>
    <t>6222031809003679272</t>
  </si>
  <si>
    <t>2025.03</t>
  </si>
  <si>
    <t>TYNG-452</t>
  </si>
  <si>
    <t>李明明</t>
  </si>
  <si>
    <t>行政人力资源经理</t>
  </si>
  <si>
    <t>420821198802091515</t>
  </si>
  <si>
    <t>海南海口</t>
  </si>
  <si>
    <t>海南省海口市龙华区大园社区</t>
  </si>
  <si>
    <t>海南达川食品有限公司</t>
  </si>
  <si>
    <t>行政人事经理</t>
  </si>
  <si>
    <t>李述富</t>
  </si>
  <si>
    <t>2025/04/01-2026/03/31</t>
  </si>
  <si>
    <t>6222031809003680015</t>
  </si>
  <si>
    <t>2025.4.1劳动合同续签</t>
  </si>
  <si>
    <t>TYNG-453</t>
  </si>
  <si>
    <t>朱玲丽</t>
  </si>
  <si>
    <t>18727608635</t>
  </si>
  <si>
    <t>420821198204176025</t>
  </si>
  <si>
    <t>湖北省京山县永隆镇聂畈村六组56号</t>
  </si>
  <si>
    <t>聂军涛</t>
  </si>
  <si>
    <t>2023/7/1-2026/6/30</t>
  </si>
  <si>
    <t>nieziying2007</t>
  </si>
  <si>
    <t>6215591809001246898</t>
  </si>
  <si>
    <t>H15881254</t>
  </si>
  <si>
    <t>6213361606803702067</t>
  </si>
  <si>
    <t>离职返聘</t>
  </si>
  <si>
    <t>TYNG-455</t>
  </si>
  <si>
    <t>丁义勇</t>
  </si>
  <si>
    <t>420801197603024053</t>
  </si>
  <si>
    <t>湖北省荆门市东宝区屈家岭管理区蔡垱分场回龙寺0025号159</t>
  </si>
  <si>
    <t>魏永霞</t>
  </si>
  <si>
    <t>2025/4/12-2026/4/11</t>
  </si>
  <si>
    <t>w13431366893</t>
  </si>
  <si>
    <t>621721 1809006224110</t>
  </si>
  <si>
    <t>2025.04</t>
  </si>
  <si>
    <t>2025/07转</t>
  </si>
  <si>
    <t>TYNG-456</t>
  </si>
  <si>
    <t>钱慧敏</t>
  </si>
  <si>
    <t>行政人力专员</t>
  </si>
  <si>
    <t>42082119960824456X</t>
  </si>
  <si>
    <t>湖北省荆门市京山市钱场镇钱场村</t>
  </si>
  <si>
    <t>湖北京兰水泥集团有限公司</t>
  </si>
  <si>
    <t>人事专员</t>
  </si>
  <si>
    <t>湖北大学</t>
  </si>
  <si>
    <t>汉语言文学</t>
  </si>
  <si>
    <t>钱新安</t>
  </si>
  <si>
    <t>2025/4/14-2026/4/13</t>
  </si>
  <si>
    <t>6217211809001341406</t>
  </si>
  <si>
    <t>TYNG-458</t>
  </si>
  <si>
    <t>李国文</t>
  </si>
  <si>
    <t>422432196911156517</t>
  </si>
  <si>
    <t>湖北省荆门市东宝区屈家岭管理区修建队050号</t>
  </si>
  <si>
    <t>湖北省荆门市东宝区屈家岭管理区太子广场</t>
  </si>
  <si>
    <t>彭小兰</t>
  </si>
  <si>
    <t>2025/5/6-2026/5/5</t>
  </si>
  <si>
    <t>6222031809003680700</t>
  </si>
  <si>
    <t>2套</t>
  </si>
  <si>
    <t>2025.05</t>
  </si>
  <si>
    <t>2025/08转</t>
  </si>
  <si>
    <t>2024年基本信息</t>
  </si>
  <si>
    <t>TYNG-396</t>
  </si>
  <si>
    <t>熊玉静</t>
  </si>
  <si>
    <t>行政部</t>
  </si>
  <si>
    <t>厨工</t>
  </si>
  <si>
    <t>422432196912096528</t>
  </si>
  <si>
    <t>湖北省荆门市东宝区屈家岭管理区长滩分场徐洼队175号</t>
  </si>
  <si>
    <t>湖北省荆门市东宝区屈家岭管理区屈岭路15座一单元304</t>
  </si>
  <si>
    <t>1970-01-15</t>
  </si>
  <si>
    <t>工地帮厨</t>
  </si>
  <si>
    <t>郭梦云</t>
  </si>
  <si>
    <t>2023/12/11-2024/3/10</t>
  </si>
  <si>
    <t>个人原因离职</t>
  </si>
  <si>
    <t>6215581809004819057</t>
  </si>
  <si>
    <t>TYNG-049</t>
  </si>
  <si>
    <t>乔相萍</t>
  </si>
  <si>
    <t>422432196904036525</t>
  </si>
  <si>
    <t>湖北省荆门市屈家岭管理区何集分场酱品厂070</t>
  </si>
  <si>
    <t>1969-04-03</t>
  </si>
  <si>
    <t>邱武生</t>
  </si>
  <si>
    <t>乔相任</t>
  </si>
  <si>
    <t>2023/9/1-2024/8/31</t>
  </si>
  <si>
    <t>公司政策调整，不设立该岗位</t>
  </si>
  <si>
    <t>qxp13277662816</t>
  </si>
  <si>
    <t>6215581809005257174</t>
  </si>
  <si>
    <t>H3258266X</t>
  </si>
  <si>
    <t>6228231609005529177</t>
  </si>
  <si>
    <t>TYNG-014</t>
  </si>
  <si>
    <t>绿化工</t>
  </si>
  <si>
    <t>422432195304166516</t>
  </si>
  <si>
    <t>湖北应城</t>
  </si>
  <si>
    <t>湖北省荆门市屈家岭管理区长滩分场果林队166-40号</t>
  </si>
  <si>
    <t>1953-04-16</t>
  </si>
  <si>
    <t>保安队长</t>
  </si>
  <si>
    <t>屈家岭长滩中学</t>
  </si>
  <si>
    <t>张德芳</t>
  </si>
  <si>
    <t>2023/10/1-2024/9/30</t>
  </si>
  <si>
    <t>wxid_zdfrz7v8rpc822</t>
  </si>
  <si>
    <t>6215581809005258354</t>
  </si>
  <si>
    <t>TYNG-013</t>
  </si>
  <si>
    <t>史世杰</t>
  </si>
  <si>
    <t>司机/后勤</t>
  </si>
  <si>
    <t>430681195903274912</t>
  </si>
  <si>
    <t>湖南省汩罗市长乐镇长南村四组36号</t>
  </si>
  <si>
    <t>1959-03-27</t>
  </si>
  <si>
    <t>湖南省保安工具设备厂</t>
  </si>
  <si>
    <t>湖南省汨罗市第五中学</t>
  </si>
  <si>
    <t>文艺</t>
  </si>
  <si>
    <t>C1E</t>
  </si>
  <si>
    <t>史炼</t>
  </si>
  <si>
    <t>彭育华</t>
  </si>
  <si>
    <t>2023/6/3-2024-6/2</t>
  </si>
  <si>
    <t>公司政策调整</t>
  </si>
  <si>
    <t>Pengyuhua23</t>
  </si>
  <si>
    <t>6212261809005883916</t>
  </si>
  <si>
    <t>TYNG-230</t>
  </si>
  <si>
    <t>张传云</t>
  </si>
  <si>
    <t>420821196309056071</t>
  </si>
  <si>
    <t>湖北省京山县永隆镇青龙庵村一组</t>
  </si>
  <si>
    <t>1963-09-05</t>
  </si>
  <si>
    <t>杨峰高中</t>
  </si>
  <si>
    <t>张俊杰</t>
  </si>
  <si>
    <t>2023/12/3-2024/12/2</t>
  </si>
  <si>
    <t>6215591809001688057</t>
  </si>
  <si>
    <t>TYNG-025</t>
  </si>
  <si>
    <t>422432195810026516</t>
  </si>
  <si>
    <t>湖北省荆门市东宝区屈家岭管理区水泥厂五栋6</t>
  </si>
  <si>
    <t>1958-10-02</t>
  </si>
  <si>
    <t>维修</t>
  </si>
  <si>
    <t>屈家岭管理区罗汉寺高中</t>
  </si>
  <si>
    <t>牛海芳</t>
  </si>
  <si>
    <t>2023/4/1-2024/3/31</t>
  </si>
  <si>
    <t>wxid_dlo5m4p0x25k22</t>
  </si>
  <si>
    <t>6212261809002093824</t>
  </si>
  <si>
    <t>TYNG-324</t>
  </si>
  <si>
    <t>史风菊</t>
  </si>
  <si>
    <t>18672432177</t>
  </si>
  <si>
    <t>422432196512066522</t>
  </si>
  <si>
    <t>湖北省荆门市东宝区屈家岭管理区五三农场何集分场西湖队166</t>
  </si>
  <si>
    <t>湖北省荆门市屈家岭管理区新菜场</t>
  </si>
  <si>
    <t>1965-12-06</t>
  </si>
  <si>
    <t>武汉天冠砖厂</t>
  </si>
  <si>
    <t>搬砖</t>
  </si>
  <si>
    <t>屈家岭管理区何集二中</t>
  </si>
  <si>
    <t>阎国中</t>
  </si>
  <si>
    <t>2023/6/11-2024/6/10</t>
  </si>
  <si>
    <t>2023年5月</t>
  </si>
  <si>
    <t>6217211809005916013</t>
  </si>
  <si>
    <t>TYNG-074</t>
  </si>
  <si>
    <t>王轩</t>
  </si>
  <si>
    <t>420801199801064039</t>
  </si>
  <si>
    <t>湖北省荆门市东宝区屈家岭管理区团山007号</t>
  </si>
  <si>
    <t>湖北省荆门市东宝区屈家岭管理区东方明珠</t>
  </si>
  <si>
    <t>1998-01-06</t>
  </si>
  <si>
    <t>海陆空平价小海鲜</t>
  </si>
  <si>
    <t>服务员</t>
  </si>
  <si>
    <t>湖北信息工程学院</t>
  </si>
  <si>
    <t>王明义</t>
  </si>
  <si>
    <t>2021/9/1-2024/8/31</t>
  </si>
  <si>
    <t>有更好的发展</t>
  </si>
  <si>
    <t>libxuan334420ll</t>
  </si>
  <si>
    <t>6215581809001760320</t>
  </si>
  <si>
    <t>H15949837</t>
  </si>
  <si>
    <t>6228231605139193369</t>
  </si>
  <si>
    <t>TYNG-390</t>
  </si>
  <si>
    <t>胡志娥</t>
  </si>
  <si>
    <t>422432197001145522</t>
  </si>
  <si>
    <t>湖北省京山县石龙镇熊坡村二组52号</t>
  </si>
  <si>
    <t>1970-01-14</t>
  </si>
  <si>
    <t>足疗店</t>
  </si>
  <si>
    <t>邹海月</t>
  </si>
  <si>
    <t>邹志贵</t>
  </si>
  <si>
    <t>2023/11/1-2024/10/31</t>
  </si>
  <si>
    <t>做不了</t>
  </si>
  <si>
    <t>6222031809002080365</t>
  </si>
  <si>
    <t>TYNG-369</t>
  </si>
  <si>
    <t>曾运平</t>
  </si>
  <si>
    <t>原浆打浆机</t>
  </si>
  <si>
    <t>422432196908096533</t>
  </si>
  <si>
    <t>湖北省荆门市东宝区屈家岭管理区畜牧分场食品厂156号</t>
  </si>
  <si>
    <t>湖北省荆门市东宝区屈家岭管理区太子名城</t>
  </si>
  <si>
    <t>1969-08-09</t>
  </si>
  <si>
    <t xml:space="preserve">湖北东润木业有限公司
</t>
  </si>
  <si>
    <t>曾秦</t>
  </si>
  <si>
    <t>2023/8/20-2024/8/19</t>
  </si>
  <si>
    <t>wxid_h9hsx4zbzzoq22</t>
  </si>
  <si>
    <t>6222031809001993394</t>
  </si>
  <si>
    <t>H36157310</t>
  </si>
  <si>
    <t>6228231609005600671</t>
  </si>
  <si>
    <t>TYNG-391</t>
  </si>
  <si>
    <t>蔡金银</t>
  </si>
  <si>
    <t>包装（码垛机）</t>
  </si>
  <si>
    <t>422432197011186010</t>
  </si>
  <si>
    <t>湖北省京山县永隆镇楼相台村五组22号</t>
  </si>
  <si>
    <t>1970-11-18</t>
  </si>
  <si>
    <t>广东新润食品有限公司</t>
  </si>
  <si>
    <t>永隆三中</t>
  </si>
  <si>
    <t>李元连</t>
  </si>
  <si>
    <t>2023/12/1-2024/11/30</t>
  </si>
  <si>
    <t>回家照顾父亲</t>
  </si>
  <si>
    <t>6217233202000535216</t>
  </si>
  <si>
    <t>TYNG-114</t>
  </si>
  <si>
    <t>1968-11-01</t>
  </si>
  <si>
    <t>广东河源宝茄印花厂</t>
  </si>
  <si>
    <t>2023/5/27-2024/5/26</t>
  </si>
  <si>
    <t>TYNG-389</t>
  </si>
  <si>
    <t>田兴秀</t>
  </si>
  <si>
    <t>42080119710921402X</t>
  </si>
  <si>
    <t>湖北省荆门市东宝区屈家岭管理区五三大道212号</t>
  </si>
  <si>
    <t>1971-09-21</t>
  </si>
  <si>
    <t>工地食堂</t>
  </si>
  <si>
    <t>邹志斌</t>
  </si>
  <si>
    <t>6222021809002020355</t>
  </si>
  <si>
    <t>TYNG-409</t>
  </si>
  <si>
    <t>冯卫军</t>
  </si>
  <si>
    <t>422432197610110018</t>
  </si>
  <si>
    <t>湖北省京山县新市镇沿河南路16号9户</t>
  </si>
  <si>
    <t>东莞惠普五金公司</t>
  </si>
  <si>
    <t>行政司机</t>
  </si>
  <si>
    <t>阳中英</t>
  </si>
  <si>
    <t>京山县供销学校</t>
  </si>
  <si>
    <t>陈发芝</t>
  </si>
  <si>
    <t>冯卫荣</t>
  </si>
  <si>
    <t>2024/2/20-2024/5/19</t>
  </si>
  <si>
    <t>身体不适</t>
  </si>
  <si>
    <t>6215581809007273120</t>
  </si>
  <si>
    <t>TYNG-415</t>
  </si>
  <si>
    <t>龙春袅</t>
  </si>
  <si>
    <t>460028200306112426</t>
  </si>
  <si>
    <t>海南临高</t>
  </si>
  <si>
    <t>海南省临高县博厚镇博北村委会圩堂村016号</t>
  </si>
  <si>
    <t>外地城镇</t>
  </si>
  <si>
    <t>实习期</t>
  </si>
  <si>
    <t>药品生产技术</t>
  </si>
  <si>
    <t>目前</t>
  </si>
  <si>
    <t>陈彩云</t>
  </si>
  <si>
    <t>TYNG-407</t>
  </si>
  <si>
    <t>韩鹏成</t>
  </si>
  <si>
    <t>420801199507184013</t>
  </si>
  <si>
    <t>湖北省荆门市东宝区屈家岭管理区创业路040号</t>
  </si>
  <si>
    <t>韩文章</t>
  </si>
  <si>
    <t>王艳</t>
  </si>
  <si>
    <t>2024/1/22-2024/4/21</t>
  </si>
  <si>
    <t>个人原因外出发展</t>
  </si>
  <si>
    <t>h1390420819</t>
  </si>
  <si>
    <t>6212811809000040251</t>
  </si>
  <si>
    <t>TYNG-370</t>
  </si>
  <si>
    <t>闵俊杰</t>
  </si>
  <si>
    <t>420821199012015555</t>
  </si>
  <si>
    <t xml:space="preserve">湖北京山    </t>
  </si>
  <si>
    <t>湖北省京山市石龙镇三同村二组17号</t>
  </si>
  <si>
    <t>1990-12-01</t>
  </si>
  <si>
    <t xml:space="preserve">湖北宝得瑞食品有限公司
</t>
  </si>
  <si>
    <t>荆门市高级技工学校</t>
  </si>
  <si>
    <t>车工</t>
  </si>
  <si>
    <t>黎园香</t>
  </si>
  <si>
    <t>谭勇</t>
  </si>
  <si>
    <t>朋友</t>
  </si>
  <si>
    <t>外出发展</t>
  </si>
  <si>
    <t>6222033202004803919</t>
  </si>
  <si>
    <t>H19257002</t>
  </si>
  <si>
    <t>6213361606939463568</t>
  </si>
  <si>
    <t>TYNG-414</t>
  </si>
  <si>
    <t>陈晶晶</t>
  </si>
  <si>
    <t>460028200403086821</t>
  </si>
  <si>
    <t>海南省临高县临城镇楼台村委会拜星村南100号</t>
  </si>
  <si>
    <t>海南科技职业大学</t>
  </si>
  <si>
    <t>陈永亮</t>
  </si>
  <si>
    <t>2024/3/6-2024/6/5</t>
  </si>
  <si>
    <t>离家远，考虑专升本</t>
  </si>
  <si>
    <t>6222031809002940717</t>
  </si>
  <si>
    <t>TYNG-226</t>
  </si>
  <si>
    <t>赵靖波</t>
  </si>
  <si>
    <t>420821198202066316</t>
  </si>
  <si>
    <t>湖北省京山县永隆镇严家墩村二组47号</t>
  </si>
  <si>
    <t>1982-02-06</t>
  </si>
  <si>
    <t>陆应珍</t>
  </si>
  <si>
    <t>wxid_uiryk7ctkqb922</t>
  </si>
  <si>
    <t>6215581809005702781</t>
  </si>
  <si>
    <t>H2295612X</t>
  </si>
  <si>
    <t>6217975200034107152</t>
  </si>
  <si>
    <t>TYNG-404</t>
  </si>
  <si>
    <t>潘军</t>
  </si>
  <si>
    <t>411624200504114237</t>
  </si>
  <si>
    <t>湖北省荆门市东宝区屈家岭管理区五三大道168座</t>
  </si>
  <si>
    <t>杭州工地</t>
  </si>
  <si>
    <t>小工</t>
  </si>
  <si>
    <t>潘中艳</t>
  </si>
  <si>
    <t>魏章文</t>
  </si>
  <si>
    <t>外公</t>
  </si>
  <si>
    <t>2024/3/1-2025/2/28</t>
  </si>
  <si>
    <t>个人心态</t>
  </si>
  <si>
    <t>6222031809002254820</t>
  </si>
  <si>
    <t>2023/12</t>
  </si>
  <si>
    <t>TYNG-056</t>
  </si>
  <si>
    <t>熊四华</t>
  </si>
  <si>
    <t>422432196410246514</t>
  </si>
  <si>
    <t>湖北省荆门市东宝区屈家岭管理区畜牧分场食品厂0003号022</t>
  </si>
  <si>
    <t>1964-10-24</t>
  </si>
  <si>
    <t xml:space="preserve">湖北库神化工有限公司
</t>
  </si>
  <si>
    <t>陈永红</t>
  </si>
  <si>
    <t>中级锅炉工</t>
  </si>
  <si>
    <t>锅炉工中级
电工</t>
  </si>
  <si>
    <t>李风华</t>
  </si>
  <si>
    <t>2021/6/5-2024/6/4</t>
  </si>
  <si>
    <t>6215581809005473342</t>
  </si>
  <si>
    <t>H38021089</t>
  </si>
  <si>
    <t>6228231609006758379</t>
  </si>
  <si>
    <t>TYNG-011</t>
  </si>
  <si>
    <t>钟文丰</t>
  </si>
  <si>
    <t>生产副总</t>
  </si>
  <si>
    <t>43068119671009491X</t>
  </si>
  <si>
    <t>湖南省汩罗市长乐镇二居委四组</t>
  </si>
  <si>
    <t>1967-10-09</t>
  </si>
  <si>
    <t>汨罗水泵厂</t>
  </si>
  <si>
    <t>钟声远</t>
  </si>
  <si>
    <t>兰萍</t>
  </si>
  <si>
    <t>公司管理调整</t>
  </si>
  <si>
    <t>wxid_i235lv4yjaoh21</t>
  </si>
  <si>
    <t>6215581809005329080</t>
  </si>
  <si>
    <t>TYNG-429</t>
  </si>
  <si>
    <t>黎强</t>
  </si>
  <si>
    <t>420821198601286017</t>
  </si>
  <si>
    <t>湖北省京山县永隆镇杨家浲村三组</t>
  </si>
  <si>
    <t xml:space="preserve">湖北田野农谷生物科技有限公司
</t>
  </si>
  <si>
    <t>临时工</t>
  </si>
  <si>
    <t>周国香</t>
  </si>
  <si>
    <t>2024/7/1-2024/9/30</t>
  </si>
  <si>
    <t>太热，适应不了夜班</t>
  </si>
  <si>
    <t>6222031809003011088</t>
  </si>
  <si>
    <t>TYNG-430</t>
  </si>
  <si>
    <t>董玉亮</t>
  </si>
  <si>
    <t>420801200511254331</t>
  </si>
  <si>
    <t>湖北省荆门市东宝区屈家岭管理区高湖分场王台队146号</t>
  </si>
  <si>
    <t>荆门技师学院</t>
  </si>
  <si>
    <t>汽修</t>
  </si>
  <si>
    <t>董二矿</t>
  </si>
  <si>
    <t>适应不了</t>
  </si>
  <si>
    <t>6212811809000175396</t>
  </si>
  <si>
    <t>TYNG-245</t>
  </si>
  <si>
    <t>1998-05-13</t>
  </si>
  <si>
    <t>2024/3/15-2025/3/14</t>
  </si>
  <si>
    <t>回家有事</t>
  </si>
  <si>
    <t>TYNG-156</t>
  </si>
  <si>
    <t>张超</t>
  </si>
  <si>
    <t>生产经理</t>
  </si>
  <si>
    <t>429001198502243133</t>
  </si>
  <si>
    <t>湖北随州</t>
  </si>
  <si>
    <t>湖北省随州市曾都区西城办事处沿河大道3号</t>
  </si>
  <si>
    <t>1985-02-24</t>
  </si>
  <si>
    <t xml:space="preserve">武汉欢乐家食品有限公司
</t>
  </si>
  <si>
    <t>程德根</t>
  </si>
  <si>
    <t>武汉生物工程学院</t>
  </si>
  <si>
    <t>生物工程</t>
  </si>
  <si>
    <t>张加安</t>
  </si>
  <si>
    <t>孔章荣</t>
  </si>
  <si>
    <t>zhangchao3392011</t>
  </si>
  <si>
    <t>6222030410002160983</t>
  </si>
  <si>
    <t>K38068209</t>
  </si>
  <si>
    <t>6217211812003077119</t>
  </si>
  <si>
    <t>TYNG-068</t>
  </si>
  <si>
    <t>2021/8/2-2024/8/1</t>
  </si>
  <si>
    <t>TYNG-424</t>
  </si>
  <si>
    <t>马驰</t>
  </si>
  <si>
    <t>420801199912074037</t>
  </si>
  <si>
    <t>湖北省荆门市东宝区屈家岭管理区五三中路14座4栋408号</t>
  </si>
  <si>
    <t>湖北省荆门市东宝区屈家岭管理区畜牧分场三合村</t>
  </si>
  <si>
    <t>东莞领益制造有限公司</t>
  </si>
  <si>
    <t>测量员</t>
  </si>
  <si>
    <t>湖北信息工程</t>
  </si>
  <si>
    <t>湖北省荆门市东宝区屈家岭管理区畜牧分场三合区</t>
  </si>
  <si>
    <t>马新红</t>
  </si>
  <si>
    <t>太热太累</t>
  </si>
  <si>
    <t>6215591809001248415</t>
  </si>
  <si>
    <t>TYNG-339</t>
  </si>
  <si>
    <t>宋宝华</t>
  </si>
  <si>
    <t>420821199002024327</t>
  </si>
  <si>
    <t>湖北省荆门市东宝区屈家岭管理区何集分场刘台队083</t>
  </si>
  <si>
    <t>1990-02-02</t>
  </si>
  <si>
    <t xml:space="preserve">武汉博昇光电股份有限公司
</t>
  </si>
  <si>
    <t>MT</t>
  </si>
  <si>
    <t>钟祥实验中学</t>
  </si>
  <si>
    <t>蔡玉柱</t>
  </si>
  <si>
    <t>蔡启林</t>
  </si>
  <si>
    <t>公媳</t>
  </si>
  <si>
    <t>回家照顾小孩</t>
  </si>
  <si>
    <t>wxid_zs6y44zmbsqz21</t>
  </si>
  <si>
    <t>6222023202039677082</t>
  </si>
  <si>
    <t>A93838752</t>
  </si>
  <si>
    <t>6231 0500 4971 1784</t>
  </si>
  <si>
    <t>黎明艳</t>
  </si>
  <si>
    <t>17399278868</t>
  </si>
  <si>
    <t>420821197501045529</t>
  </si>
  <si>
    <t>湖北省京山县石龙镇熊坡村七组</t>
  </si>
  <si>
    <t>乡厨</t>
  </si>
  <si>
    <t>张传新</t>
  </si>
  <si>
    <t>2024/8/1-2025/11/30</t>
  </si>
  <si>
    <t>老公外出要顾家</t>
  </si>
  <si>
    <t>6222031809003013365</t>
  </si>
  <si>
    <t>TYNG-442</t>
  </si>
  <si>
    <t>卢国保</t>
  </si>
  <si>
    <t>43068119650922732X</t>
  </si>
  <si>
    <t>湖南省汨罗市白糖镇仁义村大塘1组</t>
  </si>
  <si>
    <t>谢型志</t>
  </si>
  <si>
    <t>谢栋</t>
  </si>
  <si>
    <t>2024/8/29-2025/8/28</t>
  </si>
  <si>
    <t>家庭原因</t>
  </si>
  <si>
    <t>6222031809003014884</t>
  </si>
  <si>
    <t>屠选林</t>
  </si>
  <si>
    <t>质量管理员</t>
  </si>
  <si>
    <t>421126200108207252</t>
  </si>
  <si>
    <t>湖北蕲春</t>
  </si>
  <si>
    <t>湖北省蕲春县檀林镇楼花村一组</t>
  </si>
  <si>
    <t>雨润控股集团有限公司</t>
  </si>
  <si>
    <t>生鲜管培生</t>
  </si>
  <si>
    <t>陈健</t>
  </si>
  <si>
    <t>陈元生</t>
  </si>
  <si>
    <t>餐饮服务员</t>
  </si>
  <si>
    <t>2024/8/5-2024/11/4</t>
  </si>
  <si>
    <t>工作不适应，要考研</t>
  </si>
  <si>
    <t>ggb4365</t>
  </si>
  <si>
    <t>6222031809003014348</t>
  </si>
  <si>
    <t>2025/7</t>
  </si>
  <si>
    <t>TYNG-105</t>
  </si>
  <si>
    <t>赵金忠</t>
  </si>
  <si>
    <t>422432197212126516</t>
  </si>
  <si>
    <t>湖北省荆门市东宝区屈家岭管理区团山189号</t>
  </si>
  <si>
    <t>1972-12-12</t>
  </si>
  <si>
    <t>深圳罗湖</t>
  </si>
  <si>
    <t>赵先枝</t>
  </si>
  <si>
    <t>家政</t>
  </si>
  <si>
    <t>2022/1/1-2024/12/31</t>
  </si>
  <si>
    <t>身体不适，不能上夜班</t>
  </si>
  <si>
    <t>wxid_2whmhc4ee7y722</t>
  </si>
  <si>
    <t>6212261809005787174</t>
  </si>
  <si>
    <t>H4063399X</t>
  </si>
  <si>
    <t>6228231609007859671</t>
  </si>
  <si>
    <t>TYNG-418</t>
  </si>
  <si>
    <t>周安</t>
  </si>
  <si>
    <t>采购助理</t>
  </si>
  <si>
    <t>43068119990908937X</t>
  </si>
  <si>
    <t>湖南省汨罗市屈原管理区河市镇平安村寺坪组027号</t>
  </si>
  <si>
    <t>赛腾精密</t>
  </si>
  <si>
    <t>售后工程师</t>
  </si>
  <si>
    <t>胡乐</t>
  </si>
  <si>
    <t>湖南机电职业技术学院</t>
  </si>
  <si>
    <t>何月良</t>
  </si>
  <si>
    <t>周贡庭</t>
  </si>
  <si>
    <t>157774037745</t>
  </si>
  <si>
    <t>个人规划发展，恋爱结婚</t>
  </si>
  <si>
    <t>6222031907002725060</t>
  </si>
  <si>
    <t>TYNG-008</t>
  </si>
  <si>
    <t>出纳</t>
  </si>
  <si>
    <t>430681199012294926</t>
  </si>
  <si>
    <t>湖南省汩罗市长乐供销社</t>
  </si>
  <si>
    <t>1990-12-29</t>
  </si>
  <si>
    <t xml:space="preserve">湖南省汨罗市长乐镇中心小学
</t>
  </si>
  <si>
    <t>付文静</t>
  </si>
  <si>
    <t>海南省海口经济学院</t>
  </si>
  <si>
    <t>艺术设计</t>
  </si>
  <si>
    <t>钟乐平</t>
  </si>
  <si>
    <t>李浩良</t>
  </si>
  <si>
    <t>关系转至海南公司</t>
  </si>
  <si>
    <t>me349569</t>
  </si>
  <si>
    <t>6215581809002606407</t>
  </si>
  <si>
    <t>TYNG-433</t>
  </si>
  <si>
    <t>胡骏涛</t>
  </si>
  <si>
    <t>42028120020419653X</t>
  </si>
  <si>
    <t>武汉市汉阳区水木清华56-3-202号</t>
  </si>
  <si>
    <t>湖北省黄石市大冶市金井广场小区</t>
  </si>
  <si>
    <t>王芳荣</t>
  </si>
  <si>
    <t>2024/7/15-2024/12/14</t>
  </si>
  <si>
    <t>个人期望与公司计划不相符</t>
  </si>
  <si>
    <t>hjt17762749603</t>
  </si>
  <si>
    <t>6215581803005170024</t>
  </si>
  <si>
    <t>TYNG-449</t>
  </si>
  <si>
    <t>马照荣</t>
  </si>
  <si>
    <t>422432198001086547</t>
  </si>
  <si>
    <t>湖北省荆门市东宝区屈家岭管理区园艺分场王家畈队120号</t>
  </si>
  <si>
    <t>湖北省荆门市屈家岭管理区悦豪小区</t>
  </si>
  <si>
    <t>屈家岭公安分局</t>
  </si>
  <si>
    <t>辅警</t>
  </si>
  <si>
    <t>谢强</t>
  </si>
  <si>
    <t>2024/11/21-2025/2/20</t>
  </si>
  <si>
    <t>不喜欢车间环境</t>
  </si>
  <si>
    <t>6222031809003430767</t>
  </si>
  <si>
    <t>TYNG-422</t>
  </si>
  <si>
    <t>张辉</t>
  </si>
  <si>
    <t>总经办</t>
  </si>
  <si>
    <t>董秘</t>
  </si>
  <si>
    <t>42011119800115559X</t>
  </si>
  <si>
    <t>北京</t>
  </si>
  <si>
    <t>北京市西城区大平桥大街252号</t>
  </si>
  <si>
    <t>硕士</t>
  </si>
  <si>
    <t>中南民族大学</t>
  </si>
  <si>
    <t>法学</t>
  </si>
  <si>
    <t>法律职业资格
注册会计师</t>
  </si>
  <si>
    <t>关系转走</t>
  </si>
  <si>
    <t>TYNG-423</t>
  </si>
  <si>
    <t>张雄斌</t>
  </si>
  <si>
    <t>财务总监</t>
  </si>
  <si>
    <t>420984197005040033</t>
  </si>
  <si>
    <t>武汉市江汉区云霞路199号3栋1单元1006室</t>
  </si>
  <si>
    <t>湖北省武汉市江汉区泛海国际樱海园3-1006室</t>
  </si>
  <si>
    <t>总监</t>
  </si>
  <si>
    <t>沃拾光电</t>
  </si>
  <si>
    <t>副总裁</t>
  </si>
  <si>
    <t>何智斌</t>
  </si>
  <si>
    <t>澳门科技大学</t>
  </si>
  <si>
    <t>注册会计师</t>
  </si>
  <si>
    <t>陈芳</t>
  </si>
  <si>
    <t>TYNG-448</t>
  </si>
  <si>
    <t>袁宇</t>
  </si>
  <si>
    <t>510422200110205610</t>
  </si>
  <si>
    <t>四川盐边</t>
  </si>
  <si>
    <t>四川省盐边县国胜乡新村村6组112号</t>
  </si>
  <si>
    <t>济宁医学院</t>
  </si>
  <si>
    <t>蔡有群</t>
  </si>
  <si>
    <t>2024/11/12-2025/2/11</t>
  </si>
  <si>
    <t>boss直聘</t>
  </si>
  <si>
    <t>要入职家附近国企</t>
  </si>
  <si>
    <t>YY2225869863</t>
  </si>
  <si>
    <t>6212262302003484431</t>
  </si>
  <si>
    <t>2024/11</t>
  </si>
  <si>
    <t>2024/8/1-2024/12/31</t>
  </si>
  <si>
    <t>TYNG-318</t>
  </si>
  <si>
    <t>秦龙梅</t>
  </si>
  <si>
    <t>13677246875</t>
  </si>
  <si>
    <t>42080119890428462X</t>
  </si>
  <si>
    <t>湖北省荆门市屈家岭管理区罗汉寺分场平原九队19号</t>
  </si>
  <si>
    <t>湖北省荆门市屈家岭管理区司法局</t>
  </si>
  <si>
    <t>1989-04-28</t>
  </si>
  <si>
    <t>屈家岭管理区住建局</t>
  </si>
  <si>
    <t>住房保障</t>
  </si>
  <si>
    <t>胡波</t>
  </si>
  <si>
    <t>湖北城市建设职业技术学院</t>
  </si>
  <si>
    <t>工程造价</t>
  </si>
  <si>
    <t>张亭</t>
  </si>
  <si>
    <t>2024/3/16-2025/3/15</t>
  </si>
  <si>
    <t>qlm82517164</t>
  </si>
  <si>
    <t>6215581809007647182</t>
  </si>
  <si>
    <t>H4145810X</t>
  </si>
  <si>
    <t>6230 5505 8642 1177</t>
  </si>
  <si>
    <t>TYNG-445</t>
  </si>
  <si>
    <t>关运平</t>
  </si>
  <si>
    <t>420821196807065026</t>
  </si>
  <si>
    <t>湖北省京山县雁门口镇刘集村七组015号</t>
  </si>
  <si>
    <t>广州白云区</t>
  </si>
  <si>
    <t>田玉胜</t>
  </si>
  <si>
    <t>2024/9/26-2024/12/25</t>
  </si>
  <si>
    <t>6222031809003271013</t>
  </si>
  <si>
    <t>张爱军</t>
  </si>
  <si>
    <t>422432197501056518</t>
  </si>
  <si>
    <t>湖北省荆门市东宝区屈家岭管理区罐头厂134号</t>
  </si>
  <si>
    <t>湖北省荆门市东宝区屈家岭管理区二亭湾</t>
  </si>
  <si>
    <t>农谷地奥生物</t>
  </si>
  <si>
    <t>铲车、叉车</t>
  </si>
  <si>
    <t>湖北省荆门市屈家岭管理区二亭湾</t>
  </si>
  <si>
    <t>张帆</t>
  </si>
  <si>
    <t>2024/11/25-2025/2/24</t>
  </si>
  <si>
    <t>6212261809003867259</t>
  </si>
  <si>
    <t>毛佳</t>
  </si>
  <si>
    <t>原辅料验收</t>
  </si>
  <si>
    <t>422432198310216528</t>
  </si>
  <si>
    <t>湖北省荆门市东宝区屈家岭管理区创业路155座3单元306号</t>
  </si>
  <si>
    <t>屈家岭管理区创业路老街</t>
  </si>
  <si>
    <t>浙江华统</t>
  </si>
  <si>
    <t>公猪站站长</t>
  </si>
  <si>
    <t>王国平</t>
  </si>
  <si>
    <t>东北农业大学</t>
  </si>
  <si>
    <t>动物医学</t>
  </si>
  <si>
    <t>食品检验工</t>
  </si>
  <si>
    <t>潘波</t>
  </si>
  <si>
    <t>mao198378</t>
  </si>
  <si>
    <t>6212261809005397776</t>
  </si>
  <si>
    <t>以上是2024年人员信息</t>
  </si>
  <si>
    <t>2025年基本信息</t>
  </si>
  <si>
    <t>TYNG-428</t>
  </si>
  <si>
    <t>刘紫薇</t>
  </si>
  <si>
    <t>行政人事主管</t>
  </si>
  <si>
    <t>15972680606</t>
  </si>
  <si>
    <t>420801199212204064</t>
  </si>
  <si>
    <t>湖北省荆门市东宝区屈家岭管理区发展路5号10栋3单元302室</t>
  </si>
  <si>
    <t>湖北省荆门市屈家岭管理区金五新城1栋1单元</t>
  </si>
  <si>
    <t>湖北荆品油脂有限公司</t>
  </si>
  <si>
    <t>人事主管</t>
  </si>
  <si>
    <t>谢恒</t>
  </si>
  <si>
    <t>华南农业大学</t>
  </si>
  <si>
    <t>商务英语</t>
  </si>
  <si>
    <t>涂建宇</t>
  </si>
  <si>
    <t>w11271220</t>
  </si>
  <si>
    <t>6217211809006198140</t>
  </si>
  <si>
    <t>2024.10</t>
  </si>
  <si>
    <t>TYNG-361</t>
  </si>
  <si>
    <t>何军红</t>
  </si>
  <si>
    <t>411123198608231514</t>
  </si>
  <si>
    <t>河南漯河</t>
  </si>
  <si>
    <t>河南省漯河市郾城区龙城镇何庄村3组117号</t>
  </si>
  <si>
    <t>车间主管</t>
  </si>
  <si>
    <t>河南省濮阳市职业学院</t>
  </si>
  <si>
    <t>数控机床</t>
  </si>
  <si>
    <t>朱赛男</t>
  </si>
  <si>
    <t>无业</t>
  </si>
  <si>
    <t>何红霞</t>
  </si>
  <si>
    <t>he1542441733</t>
  </si>
  <si>
    <t>6222021711005167508</t>
  </si>
  <si>
    <t>张艾红</t>
  </si>
  <si>
    <t>422432197208226565</t>
  </si>
  <si>
    <t>湖北省荆门市东宝区屈家岭管理区畜牧分场</t>
  </si>
  <si>
    <t>6217231809001042943</t>
  </si>
  <si>
    <t>张紫娟</t>
  </si>
  <si>
    <t>420801199612084268</t>
  </si>
  <si>
    <t>湖北省荆门市东宝区屈家岭管理区园艺分场</t>
  </si>
  <si>
    <t>6215581809007878795</t>
  </si>
  <si>
    <t>TYNG-388</t>
  </si>
  <si>
    <t>万欢</t>
  </si>
  <si>
    <t>包装机</t>
  </si>
  <si>
    <t>420821198610125522</t>
  </si>
  <si>
    <t>湖北省荆门市东宝区屈家岭管理区何集分场熊桥队15号</t>
  </si>
  <si>
    <t xml:space="preserve">湖北聚汇农业开发有限公司
</t>
  </si>
  <si>
    <t>王爱良</t>
  </si>
  <si>
    <t>万再祥</t>
  </si>
  <si>
    <t>ai714492366</t>
  </si>
  <si>
    <t>6217213602009857673</t>
  </si>
  <si>
    <t>TYNG-427</t>
  </si>
  <si>
    <t>廖大红</t>
  </si>
  <si>
    <t>打浆/杯榨</t>
  </si>
  <si>
    <t>422432197306256530</t>
  </si>
  <si>
    <t>湖北省荆门市东宝区屈家岭管理区园艺分场屈岭队1号34号0</t>
  </si>
  <si>
    <t>湖北省荆门市东宝区屈家岭管理区8号小区</t>
  </si>
  <si>
    <t>金扬科牧业有限公司</t>
  </si>
  <si>
    <t>张群丽</t>
  </si>
  <si>
    <t>6222031809003011724</t>
  </si>
  <si>
    <t>TYNG-451</t>
  </si>
  <si>
    <t>闫倩</t>
  </si>
  <si>
    <t>行政人事专员</t>
  </si>
  <si>
    <t>622225200004192428</t>
  </si>
  <si>
    <t>甘肃张掖</t>
  </si>
  <si>
    <t>甘肃省高台县罗城镇天城村四社28号</t>
  </si>
  <si>
    <t>何昕敏</t>
  </si>
  <si>
    <t>2025/2-2026/1/31</t>
  </si>
  <si>
    <t>已转正</t>
  </si>
  <si>
    <t>田野农谷</t>
  </si>
  <si>
    <t>2024/4</t>
  </si>
  <si>
    <t>TYNG-059</t>
  </si>
  <si>
    <t>王 伟</t>
  </si>
  <si>
    <t>420801198703014252</t>
  </si>
  <si>
    <t>湖北省荆门市东宝区屈家岭管理区畜牧分场月湖果林队0005号067</t>
  </si>
  <si>
    <t xml:space="preserve">温州天瑞制药机械有限公司
</t>
  </si>
  <si>
    <t>王洁元</t>
  </si>
  <si>
    <t>涂蓉</t>
  </si>
  <si>
    <t>wxid_4554765547415</t>
  </si>
  <si>
    <t>6212261809005398089</t>
  </si>
  <si>
    <t>TYNG-060</t>
  </si>
  <si>
    <t>崔俊萍</t>
  </si>
  <si>
    <t>2025.2.17</t>
  </si>
  <si>
    <t>420821199202054328</t>
  </si>
  <si>
    <t>1992.2.5</t>
  </si>
  <si>
    <t>武汉市香玉红茶坊</t>
  </si>
  <si>
    <t>王万青</t>
  </si>
  <si>
    <t>love07021205</t>
  </si>
  <si>
    <t>干了三天</t>
  </si>
  <si>
    <t>TYNG-061</t>
  </si>
  <si>
    <t>石霞</t>
  </si>
  <si>
    <t>420381198703146225</t>
  </si>
  <si>
    <t>湖北省荆门市东宝区屈家岭管理区易家岭办事处庄屋岭村岭西组八栋39号</t>
  </si>
  <si>
    <t>龚先平</t>
  </si>
  <si>
    <t>2025/1/15-2026/1/14</t>
  </si>
  <si>
    <t>聂容涛</t>
  </si>
  <si>
    <t>422432198102096330</t>
  </si>
  <si>
    <t>湖北京山市永隆镇严家墩村四组</t>
  </si>
  <si>
    <t>1981.02.9</t>
  </si>
  <si>
    <t>2025.2.20</t>
  </si>
  <si>
    <t>2025.3.3为最后工作日</t>
  </si>
  <si>
    <t>聂可昕</t>
  </si>
  <si>
    <t>nkx120904</t>
  </si>
  <si>
    <t>6222031809003435758</t>
  </si>
  <si>
    <t>离职</t>
  </si>
  <si>
    <t>TYNG-015</t>
  </si>
  <si>
    <t>左小华</t>
  </si>
  <si>
    <t>财务经理</t>
  </si>
  <si>
    <t>422432196411216544</t>
  </si>
  <si>
    <t>湖北省荆门市东宝区屈家岭管理区屈岭路15座一单元305</t>
  </si>
  <si>
    <t>湖北省荆门市东宝区屈家岭管理区屈岭路时代星辰</t>
  </si>
  <si>
    <t>长江大学</t>
  </si>
  <si>
    <t>会计师</t>
  </si>
  <si>
    <t>刘勤</t>
  </si>
  <si>
    <t>2025.3.7离职</t>
  </si>
  <si>
    <t>TYNG-343</t>
  </si>
  <si>
    <t>胡珍</t>
  </si>
  <si>
    <t>42092119771030342X</t>
  </si>
  <si>
    <t>湖北孝昌</t>
  </si>
  <si>
    <t>湖北省孝昌县小悟乡项庙村项家湾061号</t>
  </si>
  <si>
    <t>盼盼食品有限公司</t>
  </si>
  <si>
    <t>项脉育</t>
  </si>
  <si>
    <t>h15926864315</t>
  </si>
  <si>
    <t>6217231812002056565</t>
  </si>
  <si>
    <t>K69485400</t>
  </si>
  <si>
    <t>6213361614044117277</t>
  </si>
  <si>
    <t>黎玉萍</t>
  </si>
  <si>
    <t>429006198410080324</t>
  </si>
  <si>
    <t>湖北京山市永隆镇新河口村三组</t>
  </si>
  <si>
    <t>1984.10.8</t>
  </si>
  <si>
    <t>黎爱元</t>
  </si>
  <si>
    <t>丁琴峰</t>
  </si>
  <si>
    <t>yanguo0902</t>
  </si>
  <si>
    <t>6222031809003434306</t>
  </si>
  <si>
    <t>肖丹</t>
  </si>
  <si>
    <t>420821198608055529</t>
  </si>
  <si>
    <t>湖北省京山市石龙镇三同村3组53号</t>
  </si>
  <si>
    <t>安徽马鞍山金欣源有限公司</t>
  </si>
  <si>
    <t>检测员</t>
  </si>
  <si>
    <t>陈冬</t>
  </si>
  <si>
    <t>6222031809002940659</t>
  </si>
  <si>
    <t>凡小枪</t>
  </si>
  <si>
    <t>410223197802203015</t>
  </si>
  <si>
    <t>河南省尉氏县十八里镇凡家村八组</t>
  </si>
  <si>
    <t>1978-2-20</t>
  </si>
  <si>
    <t>大北农思施绿之源</t>
  </si>
  <si>
    <t>湖北省京山市五三农场</t>
  </si>
  <si>
    <t>凡谦</t>
  </si>
  <si>
    <t>上学</t>
  </si>
  <si>
    <t>2025/3/13-2025/3/28</t>
  </si>
  <si>
    <t>彭龙</t>
  </si>
  <si>
    <t>42080119880708401x</t>
  </si>
  <si>
    <t>湖北省荆门市东宝区屈家岭管理区五三大道245座07号</t>
  </si>
  <si>
    <t>1988-7-8</t>
  </si>
  <si>
    <t>基层管理</t>
  </si>
  <si>
    <t>广州航海高等专科学校</t>
  </si>
  <si>
    <t>船舶驾驶</t>
  </si>
  <si>
    <t>湖北荆门市屈家岭管理区五三大道245座07号</t>
  </si>
  <si>
    <t>彭清场</t>
  </si>
  <si>
    <t>外贸局（退休）</t>
  </si>
  <si>
    <t>2025/3/12-2026/3/11</t>
  </si>
  <si>
    <t>6222031809003435535</t>
  </si>
  <si>
    <t>2025/4/6个人原因离职</t>
  </si>
  <si>
    <t>TYNG-342</t>
  </si>
  <si>
    <t>董东明</t>
  </si>
  <si>
    <t>42243219631107653X</t>
  </si>
  <si>
    <t>湖北省荆门市东宝区屈家岭管理区金龙路11号6</t>
  </si>
  <si>
    <t>湖北省荆门市屈家岭管理区金龙路11号6</t>
  </si>
  <si>
    <t>广州花都通明物流</t>
  </si>
  <si>
    <t>曹云英</t>
  </si>
  <si>
    <t>董传辉</t>
  </si>
  <si>
    <t>换电话号码</t>
  </si>
  <si>
    <t>6215581809007880700</t>
  </si>
  <si>
    <t>H36570092</t>
  </si>
  <si>
    <t>6228231609005679071</t>
  </si>
  <si>
    <t>TYNG-426</t>
  </si>
  <si>
    <t>吴友成</t>
  </si>
  <si>
    <t>429006196512080350</t>
  </si>
  <si>
    <t>湖北省天门市拖市镇大桥村六组21号</t>
  </si>
  <si>
    <t>湖北兴发集团</t>
  </si>
  <si>
    <t>锅炉证</t>
  </si>
  <si>
    <t>黎子香</t>
  </si>
  <si>
    <t>6222031809002942192</t>
  </si>
  <si>
    <t>陈静静</t>
  </si>
  <si>
    <t>42038119860412627x</t>
  </si>
  <si>
    <t>湖北省荆门市屈家岭管理区庄屋岭村岭西组五栋24号</t>
  </si>
  <si>
    <t>厦门安吉食品厂</t>
  </si>
  <si>
    <t>简有秀</t>
  </si>
  <si>
    <t>2025/3/19-2026/3/18</t>
  </si>
  <si>
    <t>chenjingjing</t>
  </si>
  <si>
    <t>6217232010005933711</t>
  </si>
  <si>
    <t>2025-4-18离职</t>
  </si>
  <si>
    <t>TYNG-457</t>
  </si>
  <si>
    <t>史丹丽</t>
  </si>
  <si>
    <t>429006198704020044</t>
  </si>
  <si>
    <t>湖北省天门市多宝镇沈场村二组</t>
  </si>
  <si>
    <t>湖北省荆门市东宝区屈家岭管理区太子路太子名城</t>
  </si>
  <si>
    <t>郑君</t>
  </si>
  <si>
    <t>2025/4/17-2026/4/16</t>
  </si>
  <si>
    <t>6217211809006222536</t>
  </si>
  <si>
    <t>TYNG-454</t>
  </si>
  <si>
    <t>张晶</t>
  </si>
  <si>
    <t>420821198410064059</t>
  </si>
  <si>
    <t>湖北荆门市屈家岭管理区五三农场</t>
  </si>
  <si>
    <t>1984-10-4</t>
  </si>
  <si>
    <t>张馨云</t>
  </si>
  <si>
    <t>殷秀莲</t>
  </si>
  <si>
    <t>2025/4/6-2026/4/5</t>
  </si>
  <si>
    <t>2025-04-24</t>
  </si>
  <si>
    <t>k13044888130</t>
  </si>
  <si>
    <t>6210985200028844367(邮政银行屈家岭营业所）</t>
  </si>
  <si>
    <t>2025/4</t>
  </si>
  <si>
    <t>2025-04-24离职</t>
  </si>
  <si>
    <t>2025/4/9-2026/4/8</t>
  </si>
  <si>
    <t>2025/4/6个人原因离职
2025-4-19离职</t>
  </si>
  <si>
    <t>陈新文</t>
  </si>
  <si>
    <t>422202197611234259</t>
  </si>
  <si>
    <t>湖北省应城市杨河镇木桥村小陈湾5</t>
  </si>
  <si>
    <t>苏州金猫咖啡</t>
  </si>
  <si>
    <t>利乐技术员</t>
  </si>
  <si>
    <t>咸宁地区供销学校</t>
  </si>
  <si>
    <t>陈小燕</t>
  </si>
  <si>
    <t>招聘平台</t>
  </si>
  <si>
    <t>6215591812004878311</t>
  </si>
  <si>
    <t>进修</t>
  </si>
  <si>
    <t>2025-7-31
（7月调休一个月）</t>
  </si>
  <si>
    <t>陪孩子外地读书</t>
  </si>
  <si>
    <t>工资低</t>
  </si>
  <si>
    <t>2025/7/2-2026/7/1</t>
  </si>
  <si>
    <t>陪读</t>
  </si>
  <si>
    <t>2026年基本信息</t>
  </si>
  <si>
    <t>浓缩塔/喷码机</t>
  </si>
  <si>
    <t>429001200109037413</t>
  </si>
  <si>
    <t>个人原因
外出发展</t>
  </si>
  <si>
    <t>2025/7/1-2026/6/30</t>
  </si>
  <si>
    <t>解除劳务关系</t>
  </si>
  <si>
    <t>灌装/浓缩塔</t>
  </si>
  <si>
    <t>原料检验员</t>
  </si>
  <si>
    <t>2026/1/1-2026/12/31</t>
  </si>
  <si>
    <t>质量管理部（研发）</t>
  </si>
  <si>
    <t>2025/12/1-2026/11/30</t>
  </si>
  <si>
    <t>2025/8/1-2026/7/31</t>
  </si>
  <si>
    <t>TYNG-464</t>
  </si>
  <si>
    <t>郑景</t>
  </si>
  <si>
    <t>生产副总助理</t>
  </si>
  <si>
    <t>430681199701301415</t>
  </si>
  <si>
    <t>湖南岳阳</t>
  </si>
  <si>
    <t>湖南省汨罗市
新市镇丛羊村十二组18号</t>
  </si>
  <si>
    <t>湖南省长沙市
升福区富湾国际3602</t>
  </si>
  <si>
    <t>中国海外集团
湖南公司</t>
  </si>
  <si>
    <t>硕士
研究生</t>
  </si>
  <si>
    <t>湖南科技大学</t>
  </si>
  <si>
    <t>计算机科学
与技术</t>
  </si>
  <si>
    <t>向佳瑶</t>
  </si>
  <si>
    <t>公务员</t>
  </si>
  <si>
    <t>郑兵</t>
  </si>
  <si>
    <t>2025/12/3-2026-6-3</t>
  </si>
  <si>
    <t>个人原因
回家发展</t>
  </si>
  <si>
    <t>6212261904004233856</t>
  </si>
  <si>
    <t>2025/12</t>
  </si>
  <si>
    <t>公司名称</t>
  </si>
  <si>
    <t>众何劳务公司</t>
  </si>
  <si>
    <t>绿化</t>
  </si>
  <si>
    <t>张喻</t>
  </si>
  <si>
    <t>420801197203104636</t>
  </si>
  <si>
    <t>湖北省荆门市东宝区屈家岭管理区长滩分场果林队154号</t>
  </si>
  <si>
    <t>何中英</t>
  </si>
  <si>
    <t>422432197101176529</t>
  </si>
  <si>
    <t>420801195407144622</t>
  </si>
  <si>
    <t>倪德元</t>
  </si>
  <si>
    <t>422432195902276010</t>
  </si>
  <si>
    <t>聂双兰</t>
  </si>
  <si>
    <t>422432196502036020</t>
  </si>
  <si>
    <t>聂红秀</t>
  </si>
  <si>
    <t>420821197305026101</t>
  </si>
  <si>
    <t>游红霞</t>
  </si>
  <si>
    <t>422432197010035886</t>
  </si>
  <si>
    <t>张艮中</t>
  </si>
  <si>
    <t>42243219641109601X</t>
  </si>
  <si>
    <t>阮利宏</t>
  </si>
  <si>
    <t>420821197401146031</t>
  </si>
  <si>
    <t>常江群</t>
  </si>
  <si>
    <t>420821197111266027</t>
  </si>
  <si>
    <t>邓春风</t>
  </si>
  <si>
    <t>420821197802286246</t>
  </si>
  <si>
    <t>蔡桃珍</t>
  </si>
  <si>
    <t>422432195907096027</t>
  </si>
  <si>
    <t>常国兵</t>
  </si>
  <si>
    <t>420821196503036074</t>
  </si>
  <si>
    <t>陈俊容</t>
  </si>
  <si>
    <t>422432197211186023</t>
  </si>
  <si>
    <t>苏新义</t>
  </si>
  <si>
    <t>420821196807216058</t>
  </si>
  <si>
    <t>李耀雄</t>
  </si>
  <si>
    <t>422432197204176054</t>
  </si>
  <si>
    <t>周宝</t>
  </si>
  <si>
    <t>420821196802265037</t>
  </si>
  <si>
    <t>张小琴</t>
  </si>
  <si>
    <t>展销楼、行政楼卫生</t>
  </si>
  <si>
    <t>420381199206066229</t>
  </si>
  <si>
    <t>伍世国</t>
  </si>
  <si>
    <t>422601195909186217</t>
  </si>
  <si>
    <t>湖北省荆门市东宝区屈家岭管理区屈家岭办事处庄屋岭村岭西组一栋04号</t>
  </si>
  <si>
    <t>离职时间</t>
  </si>
  <si>
    <t>TYYW-405</t>
  </si>
  <si>
    <t>谢明光</t>
  </si>
  <si>
    <t>422432197301186510</t>
  </si>
  <si>
    <t>湖北省荆门市东宝区屈家岭管理区高湖分场王台队275</t>
  </si>
  <si>
    <t>谢玉豪</t>
  </si>
  <si>
    <t>黎君</t>
  </si>
  <si>
    <t>2024/1/2-2024/4/1</t>
  </si>
  <si>
    <t>家里有收割机，要农忙</t>
  </si>
  <si>
    <t>6215581809005329379</t>
  </si>
  <si>
    <t>TYYW-216</t>
  </si>
  <si>
    <t>普云飞</t>
  </si>
  <si>
    <t>后包班长</t>
  </si>
  <si>
    <t>42080119930306401X</t>
  </si>
  <si>
    <t xml:space="preserve">湖北省荆门市东宝区屈家岭管理区良友住宅区1座304号
</t>
  </si>
  <si>
    <t>荆门月亮湖技术学院</t>
  </si>
  <si>
    <t>数控</t>
  </si>
  <si>
    <t>曾召敏</t>
  </si>
  <si>
    <t>普银全</t>
  </si>
  <si>
    <t>feinimoshu930325</t>
  </si>
  <si>
    <t>6212261809002146275</t>
  </si>
  <si>
    <t>TYYW-</t>
  </si>
  <si>
    <t>陈波</t>
  </si>
  <si>
    <t>421181198802046692</t>
  </si>
  <si>
    <t>湖北麻城</t>
  </si>
  <si>
    <t>湖北省麻城市乘马岗镇沙子岗村朱家垸组金垸7号</t>
  </si>
  <si>
    <t>广州橡果美健实业有限公司</t>
  </si>
  <si>
    <t>研发经理</t>
  </si>
  <si>
    <t>华中农业大学食品科学与技术学院</t>
  </si>
  <si>
    <t>学士学位</t>
  </si>
  <si>
    <t>杨燕超</t>
  </si>
  <si>
    <t>自由工作者</t>
  </si>
  <si>
    <t>家庭原因及个人规划发展</t>
  </si>
  <si>
    <t>kaffor</t>
  </si>
  <si>
    <t>6212262013011128692</t>
  </si>
  <si>
    <t>以上是2024年离职人员</t>
  </si>
  <si>
    <t>TYYW-368</t>
  </si>
  <si>
    <t>刘虹</t>
  </si>
  <si>
    <t>统计员</t>
  </si>
  <si>
    <t>42080119940628404X</t>
  </si>
  <si>
    <t>湖北省荆门市东宝区屈家岭管理区屈岭路31座一栋三单元305</t>
  </si>
  <si>
    <t>屈家岭管理区回龙寺</t>
  </si>
  <si>
    <t>联通自营厅</t>
  </si>
  <si>
    <t>店员</t>
  </si>
  <si>
    <t>荆州教育学院</t>
  </si>
  <si>
    <t>学前教育</t>
  </si>
  <si>
    <t>王生芝</t>
  </si>
  <si>
    <t>姜潘</t>
  </si>
  <si>
    <t>2023/8/8-2024/8/7</t>
  </si>
  <si>
    <t>自动辞职</t>
  </si>
  <si>
    <t>家庭原因（回家带小孩）</t>
  </si>
  <si>
    <t>wxid_d9ol5u78tetq12</t>
  </si>
  <si>
    <t>6222031809001914085</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</si>
</sst>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00_ "/>
    <numFmt numFmtId="179" formatCode="0.0_ "/>
  </numFmts>
  <fonts count="49">
    <font>
      <sz val="11"/>
      <color theme="1"/>
      <name val="宋体"/>
      <charset val="134"/>
      <scheme val="minor"/>
    </font>
    <font>
      <sz val="10"/>
      <color theme="1"/>
      <name val="宋体"/>
      <charset val="134"/>
      <scheme val="minor"/>
    </font>
    <font>
      <b/>
      <sz val="18"/>
      <color theme="1"/>
      <name val="宋体"/>
      <charset val="134"/>
      <scheme val="minor"/>
    </font>
    <font>
      <sz val="12"/>
      <color theme="1"/>
      <name val="宋体"/>
      <charset val="134"/>
      <scheme val="minor"/>
    </font>
    <font>
      <sz val="10"/>
      <color theme="1"/>
      <name val="宋体"/>
      <charset val="134"/>
    </font>
    <font>
      <b/>
      <sz val="10"/>
      <color theme="1"/>
      <name val="宋体"/>
      <charset val="134"/>
      <scheme val="minor"/>
    </font>
    <font>
      <b/>
      <sz val="18"/>
      <name val="宋体"/>
      <charset val="134"/>
      <scheme val="minor"/>
    </font>
    <font>
      <sz val="12"/>
      <name val="宋体"/>
      <charset val="134"/>
      <scheme val="minor"/>
    </font>
    <font>
      <sz val="10"/>
      <name val="宋体"/>
      <charset val="134"/>
    </font>
    <font>
      <sz val="10"/>
      <name val="宋体"/>
      <charset val="134"/>
      <scheme val="minor"/>
    </font>
    <font>
      <sz val="10"/>
      <color theme="1" tint="0.05"/>
      <name val="宋体"/>
      <charset val="134"/>
    </font>
    <font>
      <sz val="10"/>
      <color rgb="FFFF0000"/>
      <name val="宋体"/>
      <charset val="134"/>
      <scheme val="minor"/>
    </font>
    <font>
      <sz val="11"/>
      <color rgb="FFFF0000"/>
      <name val="宋体"/>
      <charset val="134"/>
      <scheme val="minor"/>
    </font>
    <font>
      <b/>
      <sz val="14"/>
      <color theme="1"/>
      <name val="宋体"/>
      <charset val="134"/>
      <scheme val="minor"/>
    </font>
    <font>
      <sz val="11"/>
      <name val="宋体"/>
      <charset val="134"/>
    </font>
    <font>
      <sz val="11"/>
      <color theme="1"/>
      <name val="宋体"/>
      <charset val="134"/>
    </font>
    <font>
      <sz val="11"/>
      <color rgb="FFFF0000"/>
      <name val="宋体"/>
      <charset val="134"/>
    </font>
    <font>
      <sz val="11"/>
      <color theme="1" tint="0.05"/>
      <name val="宋体"/>
      <charset val="134"/>
    </font>
    <font>
      <sz val="11"/>
      <name val="宋体"/>
      <charset val="134"/>
      <scheme val="minor"/>
    </font>
    <font>
      <sz val="9"/>
      <name val="宋体"/>
      <charset val="134"/>
      <scheme val="minor"/>
    </font>
    <font>
      <sz val="10"/>
      <color rgb="FF000000"/>
      <name val="宋体"/>
      <charset val="134"/>
    </font>
    <font>
      <sz val="12"/>
      <name val="宋体"/>
      <charset val="134"/>
    </font>
    <font>
      <sz val="10"/>
      <color rgb="FFFF0000"/>
      <name val="宋体"/>
      <charset val="134"/>
    </font>
    <font>
      <b/>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2"/>
      <name val="Times New Roman"/>
      <charset val="134"/>
    </font>
    <font>
      <sz val="11"/>
      <color theme="1"/>
      <name val="Tahoma"/>
      <charset val="134"/>
    </font>
    <font>
      <b/>
      <sz val="9"/>
      <name val="宋体"/>
      <charset val="134"/>
    </font>
    <font>
      <sz val="9"/>
      <name val="宋体"/>
      <charset val="134"/>
    </font>
    <font>
      <sz val="12"/>
      <name val="宋体"/>
      <charset val="134"/>
    </font>
  </fonts>
  <fills count="3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rgb="FF92D050"/>
      </top>
      <bottom style="thin">
        <color auto="1"/>
      </bottom>
      <diagonal/>
    </border>
    <border>
      <left style="thin">
        <color auto="1"/>
      </left>
      <right style="thin">
        <color auto="1"/>
      </right>
      <top style="thin">
        <color theme="9"/>
      </top>
      <bottom style="thin">
        <color auto="1"/>
      </bottom>
      <diagonal/>
    </border>
    <border>
      <left/>
      <right style="thin">
        <color auto="1"/>
      </right>
      <top style="thin">
        <color rgb="FF92D050"/>
      </top>
      <bottom style="thin">
        <color auto="1"/>
      </bottom>
      <diagonal/>
    </border>
    <border>
      <left/>
      <right style="thin">
        <color auto="1"/>
      </right>
      <top style="thin">
        <color auto="1"/>
      </top>
      <bottom/>
      <diagonal/>
    </border>
    <border>
      <left style="thin">
        <color auto="1"/>
      </left>
      <right style="thin">
        <color auto="1"/>
      </right>
      <top style="thin">
        <color indexed="0"/>
      </top>
      <bottom/>
      <diagonal/>
    </border>
    <border>
      <left style="thin">
        <color auto="1"/>
      </left>
      <right style="thin">
        <color auto="1"/>
      </right>
      <top style="thin">
        <color rgb="FF70AD47"/>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6" borderId="13"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4" applyNumberFormat="0" applyFill="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1" fillId="0" borderId="0" applyNumberFormat="0" applyFill="0" applyBorder="0" applyAlignment="0" applyProtection="0">
      <alignment vertical="center"/>
    </xf>
    <xf numFmtId="0" fontId="32" fillId="7" borderId="16" applyNumberFormat="0" applyAlignment="0" applyProtection="0">
      <alignment vertical="center"/>
    </xf>
    <xf numFmtId="0" fontId="33" fillId="8" borderId="17" applyNumberFormat="0" applyAlignment="0" applyProtection="0">
      <alignment vertical="center"/>
    </xf>
    <xf numFmtId="0" fontId="34" fillId="8" borderId="16" applyNumberFormat="0" applyAlignment="0" applyProtection="0">
      <alignment vertical="center"/>
    </xf>
    <xf numFmtId="0" fontId="35" fillId="9" borderId="18" applyNumberFormat="0" applyAlignment="0" applyProtection="0">
      <alignment vertical="center"/>
    </xf>
    <xf numFmtId="0" fontId="36" fillId="0" borderId="19" applyNumberFormat="0" applyFill="0" applyAlignment="0" applyProtection="0">
      <alignment vertical="center"/>
    </xf>
    <xf numFmtId="0" fontId="37" fillId="0" borderId="20" applyNumberFormat="0" applyFill="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21"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1" fillId="0" borderId="0"/>
    <xf numFmtId="0" fontId="43" fillId="0" borderId="0">
      <alignment vertical="center"/>
    </xf>
    <xf numFmtId="0" fontId="44" fillId="0" borderId="0"/>
    <xf numFmtId="0" fontId="45" fillId="0" borderId="0"/>
    <xf numFmtId="0" fontId="0" fillId="0" borderId="0"/>
  </cellStyleXfs>
  <cellXfs count="265">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Border="1" applyAlignment="1">
      <alignment horizontal="center" vertical="center"/>
    </xf>
    <xf numFmtId="0" fontId="2" fillId="0" borderId="0" xfId="0" applyFont="1" applyBorder="1" applyAlignment="1">
      <alignment horizontal="center" vertical="center"/>
    </xf>
    <xf numFmtId="0" fontId="0" fillId="0" borderId="1" xfId="0" applyBorder="1" applyAlignment="1">
      <alignment horizontal="center" vertical="center"/>
    </xf>
    <xf numFmtId="0" fontId="3" fillId="0"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0" borderId="0" xfId="0" applyFont="1" applyBorder="1" applyAlignment="1">
      <alignment horizontal="center" vertical="center"/>
    </xf>
    <xf numFmtId="0" fontId="6" fillId="0" borderId="0" xfId="0" applyFont="1" applyFill="1" applyBorder="1" applyAlignment="1">
      <alignment horizontal="center" vertical="center"/>
    </xf>
    <xf numFmtId="0" fontId="7"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76" fontId="8" fillId="0" borderId="1" xfId="56"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9" fillId="0" borderId="4" xfId="0" applyFont="1" applyFill="1" applyBorder="1" applyAlignment="1">
      <alignment horizontal="center" vertical="center"/>
    </xf>
    <xf numFmtId="14" fontId="1" fillId="0" borderId="1" xfId="0" applyNumberFormat="1" applyFont="1" applyBorder="1" applyAlignment="1">
      <alignment horizontal="center" vertical="center"/>
    </xf>
    <xf numFmtId="0" fontId="5" fillId="0" borderId="3" xfId="0" applyFont="1" applyBorder="1" applyAlignment="1">
      <alignment horizontal="center" vertical="center"/>
    </xf>
    <xf numFmtId="0" fontId="6" fillId="0" borderId="3" xfId="0" applyFont="1" applyFill="1" applyBorder="1" applyAlignment="1">
      <alignment horizontal="center" vertical="center"/>
    </xf>
    <xf numFmtId="14" fontId="1" fillId="0" borderId="1" xfId="0" applyNumberFormat="1" applyFont="1" applyFill="1" applyBorder="1" applyAlignment="1">
      <alignment horizontal="center" vertical="center"/>
    </xf>
    <xf numFmtId="0" fontId="2" fillId="0" borderId="0" xfId="0" applyFont="1" applyBorder="1" applyAlignment="1">
      <alignment horizontal="center" vertical="center" wrapText="1"/>
    </xf>
    <xf numFmtId="0" fontId="3" fillId="0" borderId="1" xfId="0" applyFont="1" applyFill="1" applyBorder="1" applyAlignment="1">
      <alignment horizontal="center" vertical="center" wrapText="1"/>
    </xf>
    <xf numFmtId="49" fontId="8" fillId="0" borderId="1" xfId="54" applyNumberFormat="1" applyFont="1" applyFill="1" applyBorder="1" applyAlignment="1">
      <alignment horizontal="center" vertical="center" wrapText="1"/>
    </xf>
    <xf numFmtId="0" fontId="8" fillId="0" borderId="1" xfId="54"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3" xfId="0" applyFont="1" applyBorder="1" applyAlignment="1">
      <alignment horizontal="center" vertical="center" wrapText="1"/>
    </xf>
    <xf numFmtId="176" fontId="10" fillId="0" borderId="1" xfId="55" applyNumberFormat="1" applyFont="1" applyFill="1" applyBorder="1" applyAlignment="1">
      <alignment horizontal="center" vertical="center" shrinkToFit="1"/>
    </xf>
    <xf numFmtId="177" fontId="1" fillId="0" borderId="1" xfId="0" applyNumberFormat="1" applyFont="1" applyFill="1" applyBorder="1" applyAlignment="1">
      <alignment horizontal="center" vertical="center"/>
    </xf>
    <xf numFmtId="177" fontId="9" fillId="0" borderId="1" xfId="0" applyNumberFormat="1" applyFont="1" applyFill="1" applyBorder="1" applyAlignment="1">
      <alignment horizontal="center" vertical="center"/>
    </xf>
    <xf numFmtId="0" fontId="2" fillId="0" borderId="4" xfId="0" applyFont="1" applyBorder="1" applyAlignment="1">
      <alignment horizontal="center" vertical="center"/>
    </xf>
    <xf numFmtId="0" fontId="7"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0" borderId="5" xfId="0" applyFont="1" applyFill="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7" fillId="0" borderId="1" xfId="0" applyFont="1" applyFill="1" applyBorder="1" applyAlignment="1">
      <alignment vertical="center" wrapText="1"/>
    </xf>
    <xf numFmtId="0" fontId="7" fillId="0" borderId="1" xfId="0" applyFont="1" applyFill="1" applyBorder="1" applyAlignment="1">
      <alignment vertical="center"/>
    </xf>
    <xf numFmtId="0" fontId="3" fillId="0" borderId="1" xfId="0" applyFont="1" applyFill="1" applyBorder="1" applyAlignment="1">
      <alignment horizontal="left" vertical="center"/>
    </xf>
    <xf numFmtId="0" fontId="9" fillId="0" borderId="1" xfId="0" applyFont="1" applyFill="1" applyBorder="1" applyAlignment="1">
      <alignment vertical="center"/>
    </xf>
    <xf numFmtId="0" fontId="10"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3" fillId="0" borderId="1" xfId="0" applyFont="1" applyFill="1" applyBorder="1" applyAlignment="1">
      <alignment vertical="center" wrapText="1"/>
    </xf>
    <xf numFmtId="0" fontId="1" fillId="0" borderId="1" xfId="0" applyFont="1" applyFill="1" applyBorder="1" applyAlignment="1">
      <alignment horizontal="center" vertical="center" wrapText="1"/>
    </xf>
    <xf numFmtId="14" fontId="8" fillId="0" borderId="1" xfId="50" applyNumberFormat="1" applyFont="1" applyFill="1" applyBorder="1" applyAlignment="1">
      <alignment horizontal="center" vertical="center" wrapText="1"/>
    </xf>
    <xf numFmtId="0" fontId="3" fillId="0" borderId="1" xfId="0" applyFont="1" applyFill="1" applyBorder="1" applyAlignment="1">
      <alignment vertical="center"/>
    </xf>
    <xf numFmtId="0" fontId="11" fillId="0" borderId="1" xfId="0" applyFont="1" applyBorder="1" applyAlignment="1">
      <alignment horizontal="center" vertical="center"/>
    </xf>
    <xf numFmtId="0" fontId="1" fillId="0" borderId="1" xfId="0" applyFont="1" applyFill="1" applyBorder="1" applyAlignment="1">
      <alignment vertical="center"/>
    </xf>
    <xf numFmtId="0" fontId="3" fillId="3" borderId="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8" fillId="0" borderId="1" xfId="0" applyFont="1" applyFill="1" applyBorder="1" applyAlignment="1">
      <alignment horizontal="center" vertical="center" wrapText="1"/>
    </xf>
    <xf numFmtId="178" fontId="1" fillId="0" borderId="1" xfId="0" applyNumberFormat="1" applyFont="1" applyBorder="1" applyAlignment="1">
      <alignment horizontal="center" vertical="center"/>
    </xf>
    <xf numFmtId="0" fontId="2" fillId="0" borderId="4"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lignment vertical="center"/>
    </xf>
    <xf numFmtId="49" fontId="9" fillId="0" borderId="1" xfId="0" applyNumberFormat="1" applyFont="1" applyFill="1" applyBorder="1" applyAlignment="1">
      <alignment horizontal="center" vertical="center"/>
    </xf>
    <xf numFmtId="14" fontId="11" fillId="2" borderId="1" xfId="0" applyNumberFormat="1" applyFont="1" applyFill="1" applyBorder="1">
      <alignment vertical="center"/>
    </xf>
    <xf numFmtId="178" fontId="9" fillId="0" borderId="1" xfId="0" applyNumberFormat="1" applyFont="1" applyFill="1" applyBorder="1" applyAlignment="1">
      <alignment horizontal="center" vertical="center"/>
    </xf>
    <xf numFmtId="179" fontId="9" fillId="0" borderId="1" xfId="0" applyNumberFormat="1" applyFont="1" applyFill="1" applyBorder="1" applyAlignment="1">
      <alignment horizontal="center" vertical="center"/>
    </xf>
    <xf numFmtId="0" fontId="0" fillId="0" borderId="0" xfId="0" applyFont="1" applyFill="1" applyAlignment="1">
      <alignment horizontal="center" vertical="center" wrapText="1"/>
    </xf>
    <xf numFmtId="0" fontId="0" fillId="0" borderId="0" xfId="0" applyFont="1" applyAlignment="1">
      <alignment horizontal="center" vertical="center" wrapText="1"/>
    </xf>
    <xf numFmtId="0" fontId="12" fillId="0" borderId="0" xfId="0" applyFont="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4" fillId="0" borderId="1" xfId="54"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pplyProtection="1">
      <alignment horizontal="center" vertical="center"/>
    </xf>
    <xf numFmtId="0" fontId="16" fillId="0" borderId="1" xfId="54" applyFont="1" applyFill="1" applyBorder="1" applyAlignment="1">
      <alignment horizontal="center" vertical="center" wrapText="1"/>
    </xf>
    <xf numFmtId="0" fontId="16"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0" fillId="2" borderId="0" xfId="0" applyFill="1" applyAlignment="1">
      <alignment horizontal="center" vertical="center" wrapText="1"/>
    </xf>
    <xf numFmtId="0" fontId="0" fillId="0" borderId="1" xfId="0" applyBorder="1" applyAlignment="1">
      <alignment horizontal="center" vertical="center" wrapText="1"/>
    </xf>
    <xf numFmtId="0" fontId="14" fillId="0" borderId="4" xfId="0" applyFont="1" applyFill="1" applyBorder="1" applyAlignment="1">
      <alignment horizontal="center" vertical="center" wrapText="1"/>
    </xf>
    <xf numFmtId="176"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49" fontId="16" fillId="0" borderId="1" xfId="0" applyNumberFormat="1" applyFont="1" applyFill="1" applyBorder="1" applyAlignment="1">
      <alignment horizontal="center" vertical="center"/>
    </xf>
    <xf numFmtId="0" fontId="16" fillId="0" borderId="1" xfId="0" applyFont="1" applyBorder="1" applyAlignment="1">
      <alignment horizontal="center" vertical="center"/>
    </xf>
    <xf numFmtId="178" fontId="16" fillId="0" borderId="1" xfId="0" applyNumberFormat="1" applyFont="1" applyFill="1" applyBorder="1" applyAlignment="1">
      <alignment horizontal="center" vertical="center"/>
    </xf>
    <xf numFmtId="14" fontId="0" fillId="0" borderId="0" xfId="0" applyNumberFormat="1" applyAlignment="1">
      <alignment horizontal="center" vertical="center" wrapText="1"/>
    </xf>
    <xf numFmtId="14" fontId="0" fillId="0" borderId="1" xfId="0" applyNumberFormat="1" applyBorder="1" applyAlignment="1">
      <alignment horizontal="center" vertical="center" wrapText="1"/>
    </xf>
    <xf numFmtId="176" fontId="17" fillId="0" borderId="1" xfId="55" applyNumberFormat="1" applyFont="1" applyFill="1" applyBorder="1" applyAlignment="1">
      <alignment horizontal="center" vertical="center" wrapText="1" shrinkToFit="1"/>
    </xf>
    <xf numFmtId="177" fontId="0" fillId="0"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176" fontId="16" fillId="0" borderId="1" xfId="55" applyNumberFormat="1" applyFont="1" applyFill="1" applyBorder="1" applyAlignment="1">
      <alignment horizontal="center" vertical="center" wrapText="1" shrinkToFit="1"/>
    </xf>
    <xf numFmtId="177" fontId="12"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0" fillId="0" borderId="0" xfId="0" applyFont="1">
      <alignment vertical="center"/>
    </xf>
    <xf numFmtId="0" fontId="1" fillId="0" borderId="0" xfId="0" applyFont="1" applyFill="1">
      <alignment vertical="center"/>
    </xf>
    <xf numFmtId="0" fontId="1" fillId="0" borderId="0" xfId="0" applyFont="1" applyFill="1" applyAlignment="1">
      <alignment horizontal="center" vertical="center"/>
    </xf>
    <xf numFmtId="0" fontId="9" fillId="0" borderId="0" xfId="0" applyFont="1" applyFill="1" applyAlignment="1">
      <alignment horizontal="center" vertical="center"/>
    </xf>
    <xf numFmtId="0" fontId="0" fillId="0" borderId="0" xfId="0" applyFill="1">
      <alignment vertical="center"/>
    </xf>
    <xf numFmtId="0" fontId="18" fillId="0" borderId="0" xfId="0" applyFont="1" applyFill="1" applyAlignment="1">
      <alignment horizontal="center" vertical="center"/>
    </xf>
    <xf numFmtId="0" fontId="18" fillId="0" borderId="0" xfId="0" applyFont="1" applyFill="1" applyAlignment="1">
      <alignment horizontal="center" vertical="center" wrapText="1"/>
    </xf>
    <xf numFmtId="0" fontId="0" fillId="0" borderId="0" xfId="0" applyFill="1" applyAlignment="1">
      <alignment horizontal="center" vertic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178" fontId="8" fillId="0" borderId="1" xfId="0" applyNumberFormat="1" applyFont="1" applyFill="1" applyBorder="1" applyAlignment="1">
      <alignment horizontal="center" vertical="center"/>
    </xf>
    <xf numFmtId="0" fontId="8" fillId="0" borderId="1" xfId="54" applyFont="1" applyFill="1" applyBorder="1" applyAlignment="1">
      <alignment horizontal="center" vertical="center"/>
    </xf>
    <xf numFmtId="0" fontId="8" fillId="0" borderId="0" xfId="0" applyFont="1" applyFill="1" applyAlignment="1">
      <alignment horizontal="center" vertical="center"/>
    </xf>
    <xf numFmtId="0" fontId="4" fillId="4" borderId="1" xfId="0" applyFont="1" applyFill="1" applyBorder="1" applyAlignment="1">
      <alignment horizontal="center" vertical="center"/>
    </xf>
    <xf numFmtId="0" fontId="8" fillId="0" borderId="4" xfId="54" applyFont="1" applyFill="1" applyBorder="1" applyAlignment="1">
      <alignment horizontal="center" vertical="center" wrapText="1"/>
    </xf>
    <xf numFmtId="0" fontId="8" fillId="0" borderId="4" xfId="0"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xf>
    <xf numFmtId="0" fontId="1" fillId="0" borderId="4" xfId="0" applyFont="1" applyFill="1" applyBorder="1" applyAlignment="1">
      <alignment horizontal="center" vertical="center" wrapText="1"/>
    </xf>
    <xf numFmtId="0" fontId="19" fillId="0" borderId="1" xfId="0" applyFont="1" applyFill="1" applyBorder="1" applyAlignment="1">
      <alignment horizontal="center" vertical="center"/>
    </xf>
    <xf numFmtId="14" fontId="8" fillId="0" borderId="1" xfId="0" applyNumberFormat="1" applyFont="1" applyFill="1" applyBorder="1" applyAlignment="1">
      <alignment horizontal="center" vertical="center"/>
    </xf>
    <xf numFmtId="14" fontId="9" fillId="0" borderId="1" xfId="0" applyNumberFormat="1" applyFont="1" applyFill="1" applyBorder="1" applyAlignment="1">
      <alignment horizontal="center" vertical="center"/>
    </xf>
    <xf numFmtId="0" fontId="9" fillId="0" borderId="4" xfId="0" applyFont="1" applyFill="1" applyBorder="1" applyAlignment="1">
      <alignment horizontal="center" vertical="center" wrapText="1"/>
    </xf>
    <xf numFmtId="0" fontId="9" fillId="0" borderId="0" xfId="0" applyFont="1" applyFill="1" applyAlignment="1">
      <alignment horizontal="center" vertical="center" wrapText="1"/>
    </xf>
    <xf numFmtId="14" fontId="9" fillId="0" borderId="0" xfId="0" applyNumberFormat="1" applyFont="1" applyFill="1" applyAlignment="1">
      <alignment horizontal="center" vertical="center"/>
    </xf>
    <xf numFmtId="0" fontId="8" fillId="2" borderId="1" xfId="0" applyFont="1" applyFill="1" applyBorder="1" applyAlignment="1">
      <alignment horizontal="center" vertical="center"/>
    </xf>
    <xf numFmtId="0" fontId="1" fillId="0" borderId="1" xfId="0" applyFont="1" applyBorder="1">
      <alignment vertical="center"/>
    </xf>
    <xf numFmtId="0" fontId="4" fillId="0" borderId="1" xfId="0" applyFont="1" applyBorder="1" applyAlignment="1">
      <alignment vertical="center" wrapText="1"/>
    </xf>
    <xf numFmtId="0" fontId="8" fillId="0" borderId="1" xfId="54"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49" fontId="20" fillId="0"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xf>
    <xf numFmtId="0" fontId="20" fillId="0" borderId="1" xfId="0" applyFont="1" applyFill="1" applyBorder="1" applyAlignment="1">
      <alignment horizontal="center" vertical="center" wrapText="1"/>
    </xf>
    <xf numFmtId="0" fontId="4" fillId="0" borderId="1" xfId="0" applyFont="1" applyFill="1" applyBorder="1" applyAlignment="1">
      <alignment vertical="center" wrapText="1"/>
    </xf>
    <xf numFmtId="49" fontId="1"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8" fillId="0" borderId="0" xfId="0" applyNumberFormat="1" applyFont="1" applyFill="1" applyAlignment="1">
      <alignment horizontal="center" vertical="center"/>
    </xf>
    <xf numFmtId="0" fontId="1" fillId="0" borderId="1" xfId="0" applyFont="1" applyBorder="1" applyAlignment="1">
      <alignment horizontal="justify" vertical="center"/>
    </xf>
    <xf numFmtId="176" fontId="8" fillId="0" borderId="1" xfId="55" applyNumberFormat="1" applyFont="1" applyFill="1" applyBorder="1" applyAlignment="1">
      <alignment horizontal="center" vertical="center" shrinkToFit="1"/>
    </xf>
    <xf numFmtId="176" fontId="8" fillId="0" borderId="0" xfId="55" applyNumberFormat="1" applyFont="1" applyFill="1" applyAlignment="1">
      <alignment horizontal="center" vertical="center" shrinkToFit="1"/>
    </xf>
    <xf numFmtId="177" fontId="9" fillId="0" borderId="0" xfId="0" applyNumberFormat="1" applyFont="1" applyFill="1" applyAlignment="1">
      <alignment horizontal="center" vertical="center"/>
    </xf>
    <xf numFmtId="0" fontId="4" fillId="0" borderId="6" xfId="0" applyFont="1" applyFill="1" applyBorder="1" applyAlignment="1">
      <alignment horizontal="center" vertical="center"/>
    </xf>
    <xf numFmtId="0" fontId="8" fillId="0" borderId="0" xfId="54" applyFont="1" applyFill="1" applyAlignment="1">
      <alignment horizontal="center" vertical="center" wrapText="1"/>
    </xf>
    <xf numFmtId="0" fontId="18" fillId="0" borderId="1" xfId="0" applyFont="1" applyFill="1" applyBorder="1" applyAlignment="1">
      <alignment horizontal="center" vertical="center" wrapText="1"/>
    </xf>
    <xf numFmtId="178" fontId="1" fillId="0" borderId="1" xfId="0" applyNumberFormat="1" applyFont="1" applyFill="1" applyBorder="1" applyAlignment="1">
      <alignment horizontal="center" vertical="center"/>
    </xf>
    <xf numFmtId="0" fontId="9" fillId="0" borderId="1" xfId="0" applyFont="1" applyFill="1" applyBorder="1" applyAlignment="1">
      <alignment horizontal="justify" vertical="center"/>
    </xf>
    <xf numFmtId="0" fontId="8" fillId="0" borderId="7" xfId="54" applyFont="1" applyFill="1" applyBorder="1" applyAlignment="1">
      <alignment horizontal="center" vertical="center" wrapText="1"/>
    </xf>
    <xf numFmtId="0" fontId="4"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1" fillId="0" borderId="6" xfId="0" applyFont="1" applyFill="1" applyBorder="1" applyAlignment="1">
      <alignment horizontal="center" vertical="center" wrapText="1"/>
    </xf>
    <xf numFmtId="0" fontId="8" fillId="0" borderId="6" xfId="54" applyFont="1" applyFill="1" applyBorder="1" applyAlignment="1">
      <alignment horizontal="center" vertical="center" wrapText="1"/>
    </xf>
    <xf numFmtId="0" fontId="8" fillId="0" borderId="5" xfId="54" applyFont="1" applyFill="1" applyBorder="1" applyAlignment="1">
      <alignment horizontal="center" vertical="center" wrapText="1"/>
    </xf>
    <xf numFmtId="0" fontId="18" fillId="0" borderId="1" xfId="0" applyFont="1" applyFill="1" applyBorder="1" applyAlignment="1">
      <alignment vertical="center" wrapText="1"/>
    </xf>
    <xf numFmtId="0" fontId="18" fillId="0" borderId="1" xfId="0" applyFont="1" applyFill="1" applyBorder="1" applyAlignment="1">
      <alignment vertical="center"/>
    </xf>
    <xf numFmtId="0" fontId="0" fillId="0" borderId="1" xfId="0" applyFont="1" applyFill="1" applyBorder="1" applyAlignment="1">
      <alignment horizontal="left" vertical="center" wrapText="1"/>
    </xf>
    <xf numFmtId="0" fontId="10" fillId="0" borderId="5" xfId="0" applyFont="1" applyFill="1" applyBorder="1" applyAlignment="1">
      <alignment horizontal="center" vertical="center"/>
    </xf>
    <xf numFmtId="0" fontId="9" fillId="0" borderId="0" xfId="0" applyFont="1" applyFill="1" applyBorder="1" applyAlignment="1">
      <alignment horizontal="center" vertical="center"/>
    </xf>
    <xf numFmtId="0" fontId="0" fillId="0" borderId="1" xfId="0" applyFont="1" applyFill="1" applyBorder="1" applyAlignment="1">
      <alignment vertical="center" wrapText="1"/>
    </xf>
    <xf numFmtId="0" fontId="18" fillId="0" borderId="1" xfId="0" applyFont="1" applyFill="1" applyBorder="1" applyAlignment="1">
      <alignment horizontal="center" vertical="center"/>
    </xf>
    <xf numFmtId="0" fontId="0" fillId="0" borderId="1" xfId="0" applyFont="1" applyBorder="1" applyAlignment="1">
      <alignment vertical="center" wrapText="1"/>
    </xf>
    <xf numFmtId="0" fontId="0" fillId="0" borderId="1" xfId="0" applyFont="1" applyFill="1" applyBorder="1" applyAlignment="1">
      <alignment vertical="center"/>
    </xf>
    <xf numFmtId="0" fontId="1" fillId="5" borderId="1" xfId="0" applyFont="1" applyFill="1" applyBorder="1" applyAlignment="1">
      <alignment horizontal="center" vertical="center"/>
    </xf>
    <xf numFmtId="14" fontId="9" fillId="5" borderId="1" xfId="0" applyNumberFormat="1" applyFont="1" applyFill="1" applyBorder="1" applyAlignment="1">
      <alignment horizontal="center" vertical="center"/>
    </xf>
    <xf numFmtId="14" fontId="8" fillId="0" borderId="1" xfId="50" applyNumberFormat="1" applyFont="1" applyFill="1" applyBorder="1" applyAlignment="1">
      <alignment horizontal="center" vertical="center"/>
    </xf>
    <xf numFmtId="0" fontId="8" fillId="0" borderId="8" xfId="0" applyFont="1" applyFill="1" applyBorder="1" applyAlignment="1">
      <alignment horizontal="center" vertical="center" wrapText="1"/>
    </xf>
    <xf numFmtId="14" fontId="0" fillId="0" borderId="1" xfId="0" applyNumberFormat="1" applyFill="1" applyBorder="1" applyAlignment="1">
      <alignment horizontal="center" vertical="center"/>
    </xf>
    <xf numFmtId="0" fontId="20" fillId="0" borderId="5" xfId="0" applyFont="1" applyFill="1" applyBorder="1" applyAlignment="1">
      <alignment horizontal="center" vertical="center"/>
    </xf>
    <xf numFmtId="14" fontId="1" fillId="0" borderId="1" xfId="0" applyNumberFormat="1" applyFont="1" applyFill="1" applyBorder="1" applyAlignment="1">
      <alignment horizontal="center" vertical="center" wrapText="1"/>
    </xf>
    <xf numFmtId="14" fontId="9" fillId="0" borderId="1" xfId="0" applyNumberFormat="1" applyFont="1" applyFill="1" applyBorder="1" applyAlignment="1">
      <alignment horizontal="center" vertical="center" wrapText="1"/>
    </xf>
    <xf numFmtId="0" fontId="8" fillId="0" borderId="6" xfId="0" applyFont="1" applyFill="1" applyBorder="1" applyAlignment="1">
      <alignment horizontal="center" vertical="center" wrapText="1"/>
    </xf>
    <xf numFmtId="14" fontId="8" fillId="0" borderId="1" xfId="49" applyNumberFormat="1" applyFont="1" applyFill="1" applyBorder="1" applyAlignment="1">
      <alignment horizontal="center" vertical="center" wrapText="1"/>
    </xf>
    <xf numFmtId="0" fontId="9" fillId="0" borderId="6" xfId="0" applyFont="1" applyFill="1" applyBorder="1" applyAlignment="1">
      <alignment horizontal="center" vertical="center" wrapText="1"/>
    </xf>
    <xf numFmtId="0" fontId="0" fillId="0" borderId="0" xfId="0" applyFill="1" applyAlignment="1">
      <alignment horizontal="center" vertical="center" wrapText="1"/>
    </xf>
    <xf numFmtId="14" fontId="18" fillId="0" borderId="1" xfId="0" applyNumberFormat="1" applyFont="1" applyFill="1" applyBorder="1" applyAlignment="1">
      <alignment horizontal="center" vertical="center"/>
    </xf>
    <xf numFmtId="0" fontId="0" fillId="0" borderId="1" xfId="0" applyFill="1" applyBorder="1">
      <alignment vertical="center"/>
    </xf>
    <xf numFmtId="14" fontId="9" fillId="5" borderId="1" xfId="0" applyNumberFormat="1" applyFont="1" applyFill="1" applyBorder="1" applyAlignment="1">
      <alignment vertical="center"/>
    </xf>
    <xf numFmtId="0" fontId="9" fillId="0" borderId="1" xfId="0" applyFont="1" applyBorder="1" applyAlignment="1">
      <alignment horizontal="center" vertical="center"/>
    </xf>
    <xf numFmtId="14" fontId="1" fillId="0" borderId="1" xfId="0" applyNumberFormat="1" applyFont="1" applyFill="1" applyBorder="1" applyAlignment="1">
      <alignment vertical="center"/>
    </xf>
    <xf numFmtId="0" fontId="11" fillId="0" borderId="1" xfId="0" applyFont="1" applyFill="1" applyBorder="1" applyAlignment="1">
      <alignment horizontal="center" vertical="center"/>
    </xf>
    <xf numFmtId="14" fontId="9" fillId="0" borderId="1" xfId="0" applyNumberFormat="1" applyFont="1" applyFill="1" applyBorder="1" applyAlignment="1">
      <alignment vertical="center"/>
    </xf>
    <xf numFmtId="0" fontId="0" fillId="3" borderId="1" xfId="0" applyFont="1" applyFill="1" applyBorder="1" applyAlignment="1">
      <alignment horizontal="center" vertical="center"/>
    </xf>
    <xf numFmtId="0" fontId="1" fillId="0" borderId="1" xfId="0" applyFont="1" applyFill="1" applyBorder="1" applyAlignment="1">
      <alignment vertical="center" wrapText="1"/>
    </xf>
    <xf numFmtId="176" fontId="9" fillId="0"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76" fontId="1" fillId="0" borderId="1" xfId="0" applyNumberFormat="1" applyFont="1" applyFill="1" applyBorder="1" applyAlignment="1">
      <alignment horizontal="justify" vertical="center"/>
    </xf>
    <xf numFmtId="0" fontId="15" fillId="0" borderId="1" xfId="0" applyFont="1" applyBorder="1" applyAlignment="1">
      <alignment horizontal="center" vertical="center" wrapText="1"/>
    </xf>
    <xf numFmtId="0" fontId="0" fillId="0" borderId="1" xfId="0" applyFill="1" applyBorder="1" applyAlignment="1">
      <alignment horizontal="center" vertical="center" wrapText="1"/>
    </xf>
    <xf numFmtId="0" fontId="15" fillId="0" borderId="5"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8" fillId="0" borderId="0" xfId="0" applyFont="1" applyFill="1" applyAlignment="1">
      <alignment horizontal="center" vertical="center" wrapText="1"/>
    </xf>
    <xf numFmtId="0" fontId="9"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49" fontId="17" fillId="0" borderId="1" xfId="55" applyNumberFormat="1" applyFont="1" applyFill="1" applyBorder="1" applyAlignment="1">
      <alignment horizontal="center" vertical="center" shrinkToFit="1"/>
    </xf>
    <xf numFmtId="14" fontId="14" fillId="0" borderId="1" xfId="50" applyNumberFormat="1" applyFont="1" applyFill="1" applyBorder="1" applyAlignment="1">
      <alignment horizontal="center" vertical="center" wrapText="1"/>
    </xf>
    <xf numFmtId="14" fontId="14" fillId="0" borderId="1" xfId="50" applyNumberFormat="1" applyFont="1" applyFill="1" applyBorder="1" applyAlignment="1">
      <alignment horizontal="center" vertical="center"/>
    </xf>
    <xf numFmtId="14" fontId="15"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49" fontId="10" fillId="0" borderId="1" xfId="55" applyNumberFormat="1" applyFont="1" applyFill="1" applyBorder="1" applyAlignment="1">
      <alignment horizontal="center" vertical="center" shrinkToFit="1"/>
    </xf>
    <xf numFmtId="14" fontId="12" fillId="0" borderId="1" xfId="0" applyNumberFormat="1" applyFont="1" applyFill="1" applyBorder="1" applyAlignment="1">
      <alignment horizontal="center" vertical="center"/>
    </xf>
    <xf numFmtId="49" fontId="14" fillId="0" borderId="1" xfId="55" applyNumberFormat="1" applyFont="1" applyFill="1" applyBorder="1" applyAlignment="1">
      <alignment horizontal="center" vertical="center" shrinkToFit="1"/>
    </xf>
    <xf numFmtId="14" fontId="14" fillId="0" borderId="1" xfId="0" applyNumberFormat="1" applyFont="1" applyFill="1" applyBorder="1" applyAlignment="1">
      <alignment horizontal="center" vertical="center"/>
    </xf>
    <xf numFmtId="49" fontId="8" fillId="0" borderId="1" xfId="55" applyNumberFormat="1" applyFont="1" applyFill="1" applyBorder="1" applyAlignment="1">
      <alignment horizontal="center" vertical="center" shrinkToFit="1"/>
    </xf>
    <xf numFmtId="14" fontId="14" fillId="0" borderId="1" xfId="49" applyNumberFormat="1" applyFont="1" applyFill="1" applyBorder="1" applyAlignment="1">
      <alignment horizontal="center" vertical="center" wrapText="1"/>
    </xf>
    <xf numFmtId="49" fontId="8" fillId="0" borderId="0" xfId="55" applyNumberFormat="1" applyFont="1" applyFill="1" applyAlignment="1">
      <alignment horizontal="center" vertical="center" shrinkToFit="1"/>
    </xf>
    <xf numFmtId="14" fontId="9" fillId="0" borderId="1" xfId="0" applyNumberFormat="1" applyFont="1" applyFill="1" applyBorder="1" applyAlignment="1">
      <alignment horizontal="justify" vertical="center"/>
    </xf>
    <xf numFmtId="176" fontId="10" fillId="0" borderId="1" xfId="55" applyNumberFormat="1" applyFont="1" applyFill="1" applyBorder="1" applyAlignment="1">
      <alignment horizontal="center" vertical="center" wrapText="1" shrinkToFit="1"/>
    </xf>
    <xf numFmtId="0" fontId="9" fillId="0" borderId="1" xfId="0" applyFont="1" applyFill="1" applyBorder="1" applyAlignment="1">
      <alignment horizontal="justify" vertical="center" wrapText="1"/>
    </xf>
    <xf numFmtId="0" fontId="8" fillId="0" borderId="0" xfId="0" applyFont="1" applyFill="1" applyBorder="1" applyAlignment="1">
      <alignment horizontal="center" vertical="center"/>
    </xf>
    <xf numFmtId="176" fontId="11" fillId="0" borderId="1" xfId="0" applyNumberFormat="1" applyFont="1" applyFill="1" applyBorder="1" applyAlignment="1">
      <alignment horizontal="justify" vertical="center"/>
    </xf>
    <xf numFmtId="0" fontId="22" fillId="0" borderId="1" xfId="55" applyNumberFormat="1" applyFont="1" applyFill="1" applyBorder="1" applyAlignment="1">
      <alignment horizontal="center" vertical="center" shrinkToFit="1"/>
    </xf>
    <xf numFmtId="176" fontId="11" fillId="0" borderId="1" xfId="0" applyNumberFormat="1" applyFont="1" applyFill="1" applyBorder="1" applyAlignment="1">
      <alignment horizontal="justify" vertical="center" wrapText="1"/>
    </xf>
    <xf numFmtId="57" fontId="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14" fontId="11" fillId="0" borderId="1" xfId="0" applyNumberFormat="1" applyFont="1" applyFill="1" applyBorder="1" applyAlignment="1">
      <alignment horizontal="justify" vertical="center"/>
    </xf>
    <xf numFmtId="49" fontId="9" fillId="0" borderId="1" xfId="0" applyNumberFormat="1" applyFont="1" applyFill="1" applyBorder="1" applyAlignment="1">
      <alignment horizontal="center" vertical="center" wrapText="1"/>
    </xf>
    <xf numFmtId="49" fontId="22" fillId="0" borderId="1" xfId="55" applyNumberFormat="1" applyFont="1" applyFill="1" applyBorder="1" applyAlignment="1">
      <alignment horizontal="center" vertical="center" shrinkToFit="1"/>
    </xf>
    <xf numFmtId="14" fontId="11" fillId="0" borderId="1" xfId="0" applyNumberFormat="1" applyFont="1" applyFill="1" applyBorder="1" applyAlignment="1">
      <alignment horizontal="justify" vertical="center" wrapText="1"/>
    </xf>
    <xf numFmtId="0" fontId="18" fillId="0" borderId="1" xfId="0" applyNumberFormat="1" applyFont="1" applyFill="1" applyBorder="1" applyAlignment="1">
      <alignment horizontal="center" vertical="center"/>
    </xf>
    <xf numFmtId="0" fontId="18" fillId="0" borderId="0" xfId="0" applyNumberFormat="1" applyFont="1" applyFill="1" applyAlignment="1">
      <alignment horizontal="center" vertical="center"/>
    </xf>
    <xf numFmtId="0" fontId="8" fillId="0" borderId="7" xfId="0" applyFont="1" applyFill="1" applyBorder="1" applyAlignment="1">
      <alignment horizontal="center" vertical="center"/>
    </xf>
    <xf numFmtId="0" fontId="8" fillId="0" borderId="9" xfId="0" applyFont="1" applyFill="1" applyBorder="1" applyAlignment="1">
      <alignment horizontal="center" vertical="center" wrapText="1"/>
    </xf>
    <xf numFmtId="176" fontId="8" fillId="0" borderId="7" xfId="56" applyNumberFormat="1" applyFont="1" applyFill="1" applyBorder="1" applyAlignment="1">
      <alignment horizontal="center" vertical="center" wrapText="1"/>
    </xf>
    <xf numFmtId="176" fontId="8" fillId="0" borderId="5" xfId="56" applyNumberFormat="1" applyFont="1" applyFill="1" applyBorder="1" applyAlignment="1">
      <alignment horizontal="center" vertical="center" wrapText="1"/>
    </xf>
    <xf numFmtId="0" fontId="9" fillId="0" borderId="5" xfId="0" applyFont="1" applyFill="1" applyBorder="1" applyAlignment="1">
      <alignment horizontal="center" vertical="center"/>
    </xf>
    <xf numFmtId="0" fontId="8" fillId="0" borderId="10" xfId="0" applyFont="1" applyFill="1" applyBorder="1" applyAlignment="1">
      <alignment horizontal="center" vertical="center" wrapText="1"/>
    </xf>
    <xf numFmtId="176" fontId="8" fillId="0" borderId="5" xfId="0" applyNumberFormat="1" applyFont="1" applyFill="1" applyBorder="1" applyAlignment="1">
      <alignment horizontal="center" vertical="center" wrapText="1"/>
    </xf>
    <xf numFmtId="49" fontId="8" fillId="0" borderId="7" xfId="54" applyNumberFormat="1" applyFont="1" applyFill="1" applyBorder="1" applyAlignment="1">
      <alignment horizontal="center" vertical="center" wrapText="1"/>
    </xf>
    <xf numFmtId="0" fontId="8" fillId="0" borderId="7" xfId="0" applyFont="1" applyFill="1" applyBorder="1" applyAlignment="1">
      <alignment horizontal="center" vertical="center" wrapText="1"/>
    </xf>
    <xf numFmtId="49" fontId="8" fillId="0" borderId="5" xfId="54" applyNumberFormat="1" applyFont="1" applyFill="1" applyBorder="1" applyAlignment="1">
      <alignment horizontal="center" vertical="center" wrapText="1"/>
    </xf>
    <xf numFmtId="14" fontId="8" fillId="0" borderId="1" xfId="56" applyNumberFormat="1"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11" xfId="0" applyFont="1" applyFill="1" applyBorder="1" applyAlignment="1">
      <alignment horizontal="center" vertical="center"/>
    </xf>
    <xf numFmtId="0" fontId="8" fillId="0" borderId="8" xfId="54" applyFont="1" applyFill="1" applyBorder="1" applyAlignment="1">
      <alignment horizontal="center" vertical="center" wrapText="1"/>
    </xf>
    <xf numFmtId="0" fontId="8" fillId="0" borderId="11" xfId="54" applyFont="1" applyFill="1" applyBorder="1" applyAlignment="1">
      <alignment horizontal="center" vertical="center" wrapText="1"/>
    </xf>
    <xf numFmtId="0" fontId="8" fillId="0" borderId="12" xfId="0" applyFont="1" applyFill="1" applyBorder="1" applyAlignment="1">
      <alignment horizontal="center" vertical="center" wrapText="1"/>
    </xf>
    <xf numFmtId="14" fontId="8" fillId="0" borderId="1" xfId="57" applyNumberFormat="1" applyFont="1" applyFill="1" applyBorder="1" applyAlignment="1">
      <alignment horizontal="center" vertical="center" wrapText="1"/>
    </xf>
    <xf numFmtId="14" fontId="8" fillId="0" borderId="1" xfId="57" applyNumberFormat="1" applyFont="1" applyFill="1" applyBorder="1" applyAlignment="1">
      <alignment horizontal="center" vertical="center"/>
    </xf>
    <xf numFmtId="0" fontId="14" fillId="0" borderId="5" xfId="0" applyFont="1" applyFill="1" applyBorder="1" applyAlignment="1">
      <alignment horizontal="center" vertical="center" wrapText="1"/>
    </xf>
    <xf numFmtId="14" fontId="14" fillId="0" borderId="1" xfId="57" applyNumberFormat="1" applyFont="1" applyFill="1" applyBorder="1" applyAlignment="1">
      <alignment horizontal="center" vertical="center" wrapText="1"/>
    </xf>
    <xf numFmtId="14" fontId="14" fillId="0" borderId="1" xfId="57"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xf>
    <xf numFmtId="14" fontId="11" fillId="0" borderId="1" xfId="0" applyNumberFormat="1" applyFont="1" applyFill="1" applyBorder="1" applyAlignment="1">
      <alignment horizontal="center" vertical="center" wrapText="1"/>
    </xf>
    <xf numFmtId="0" fontId="12" fillId="0" borderId="1" xfId="0" applyFont="1" applyBorder="1">
      <alignment vertical="center"/>
    </xf>
    <xf numFmtId="0" fontId="18" fillId="0" borderId="1" xfId="0" applyFont="1" applyBorder="1">
      <alignment vertical="center"/>
    </xf>
    <xf numFmtId="0" fontId="11" fillId="0" borderId="1" xfId="0" applyFont="1" applyFill="1" applyBorder="1" applyAlignment="1">
      <alignment horizontal="justify" vertical="center"/>
    </xf>
    <xf numFmtId="0" fontId="0" fillId="0" borderId="1" xfId="0" applyNumberFormat="1" applyBorder="1" applyAlignment="1">
      <alignment horizontal="center" vertical="center"/>
    </xf>
    <xf numFmtId="0" fontId="18" fillId="0" borderId="1" xfId="0" applyNumberFormat="1" applyFont="1" applyFill="1" applyBorder="1" applyAlignment="1">
      <alignment horizontal="center" vertical="center" wrapText="1"/>
    </xf>
    <xf numFmtId="14" fontId="0" fillId="0" borderId="0" xfId="0" applyNumberFormat="1">
      <alignment vertical="center"/>
    </xf>
    <xf numFmtId="0" fontId="6" fillId="0" borderId="2" xfId="0" applyFont="1" applyFill="1" applyBorder="1" applyAlignment="1">
      <alignment horizontal="center" vertical="center"/>
    </xf>
    <xf numFmtId="0" fontId="23" fillId="0" borderId="3" xfId="0" applyFont="1" applyFill="1" applyBorder="1" applyAlignment="1">
      <alignment horizontal="center" vertical="center"/>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xf>
    <xf numFmtId="0" fontId="6" fillId="0" borderId="2"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18" fillId="2" borderId="1" xfId="0" applyFont="1" applyFill="1" applyBorder="1" applyAlignment="1">
      <alignment horizontal="center" vertical="center"/>
    </xf>
    <xf numFmtId="0" fontId="8" fillId="0" borderId="1" xfId="0" applyFont="1" applyFill="1" applyBorder="1" applyAlignment="1" quotePrefix="1">
      <alignment horizontal="center" vertical="center"/>
    </xf>
    <xf numFmtId="0" fontId="1" fillId="0" borderId="1" xfId="0" applyNumberFormat="1" applyFont="1" applyFill="1" applyBorder="1" applyAlignment="1" quotePrefix="1">
      <alignment horizontal="center" vertical="center"/>
    </xf>
    <xf numFmtId="0" fontId="1" fillId="0" borderId="1" xfId="0" applyFont="1" applyFill="1" applyBorder="1" applyAlignment="1" quotePrefix="1">
      <alignment horizontal="center" vertical="center"/>
    </xf>
    <xf numFmtId="0" fontId="14" fillId="0" borderId="1" xfId="0" applyFont="1" applyFill="1" applyBorder="1" applyAlignment="1" quotePrefix="1">
      <alignment horizontal="center" vertical="center" wrapText="1"/>
    </xf>
    <xf numFmtId="0" fontId="9" fillId="0" borderId="1" xfId="0" applyFont="1" applyFill="1" applyBorder="1" applyAlignment="1" quotePrefix="1">
      <alignment horizontal="center" vertical="center" wrapText="1"/>
    </xf>
    <xf numFmtId="0" fontId="9" fillId="0" borderId="1" xfId="0" applyFont="1" applyFill="1" applyBorder="1" applyAlignment="1" quotePrefix="1">
      <alignment horizontal="center" vertical="center"/>
    </xf>
    <xf numFmtId="0" fontId="20" fillId="0" borderId="1" xfId="0" applyFont="1" applyFill="1" applyBorder="1" applyAlignment="1" quotePrefix="1">
      <alignment horizontal="center" vertical="center"/>
    </xf>
    <xf numFmtId="0" fontId="15" fillId="0" borderId="5" xfId="0" applyFont="1" applyFill="1" applyBorder="1" applyAlignment="1" quotePrefix="1">
      <alignment horizontal="center" vertical="center" wrapText="1"/>
    </xf>
    <xf numFmtId="0" fontId="18" fillId="0" borderId="1" xfId="0" applyFont="1" applyFill="1" applyBorder="1" applyAlignment="1" quotePrefix="1">
      <alignment horizontal="center" vertical="center" wrapText="1"/>
    </xf>
    <xf numFmtId="0" fontId="14" fillId="0" borderId="5" xfId="0" applyFont="1" applyFill="1" applyBorder="1" applyAlignment="1" quotePrefix="1">
      <alignment horizontal="center" vertical="center" wrapText="1"/>
    </xf>
    <xf numFmtId="0" fontId="8" fillId="0" borderId="1" xfId="0" applyFont="1" applyFill="1" applyBorder="1" applyAlignment="1" quotePrefix="1">
      <alignment horizontal="center" vertical="center" wrapText="1"/>
    </xf>
    <xf numFmtId="0" fontId="8" fillId="0" borderId="0" xfId="0" applyFont="1" applyFill="1" applyBorder="1" applyAlignment="1" quotePrefix="1">
      <alignment horizontal="center" vertical="center"/>
    </xf>
    <xf numFmtId="0" fontId="15" fillId="0" borderId="1" xfId="0" applyFont="1" applyBorder="1" applyAlignment="1" quotePrefix="1">
      <alignment horizontal="center" vertical="center" wrapText="1"/>
    </xf>
    <xf numFmtId="0" fontId="15" fillId="0" borderId="1" xfId="0"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0" fillId="0" borderId="1" xfId="0" applyFill="1" applyBorder="1" applyAlignment="1" quotePrefix="1">
      <alignment horizontal="center" vertical="center" wrapText="1"/>
    </xf>
    <xf numFmtId="0" fontId="4" fillId="0" borderId="1" xfId="0" applyFont="1" applyFill="1" applyBorder="1" applyAlignment="1" quotePrefix="1">
      <alignment horizontal="center" vertical="center"/>
    </xf>
    <xf numFmtId="0" fontId="0" fillId="0" borderId="1" xfId="0" applyFont="1" applyFill="1" applyBorder="1" applyAlignment="1" quotePrefix="1">
      <alignment horizontal="center" vertical="center" wrapText="1"/>
    </xf>
    <xf numFmtId="0" fontId="21" fillId="0" borderId="1" xfId="0" applyFont="1" applyFill="1" applyBorder="1" applyAlignment="1" quotePrefix="1">
      <alignment horizontal="center" vertical="center" wrapText="1"/>
    </xf>
    <xf numFmtId="0" fontId="4" fillId="0" borderId="1" xfId="0" applyFont="1" applyFill="1" applyBorder="1" applyAlignment="1" quotePrefix="1">
      <alignment horizontal="center" vertical="center" wrapText="1"/>
    </xf>
    <xf numFmtId="0" fontId="1" fillId="0" borderId="1" xfId="0" applyFont="1" applyBorder="1" quotePrefix="1">
      <alignment vertical="center"/>
    </xf>
    <xf numFmtId="0" fontId="19" fillId="0" borderId="1" xfId="0" applyFont="1" applyFill="1" applyBorder="1" applyAlignment="1" quotePrefix="1">
      <alignment horizontal="center" vertical="center" wrapText="1"/>
    </xf>
    <xf numFmtId="0" fontId="0" fillId="0" borderId="1" xfId="0" applyFont="1" applyBorder="1" applyAlignment="1" quotePrefix="1">
      <alignment horizontal="center" vertical="center" wrapText="1"/>
    </xf>
    <xf numFmtId="0" fontId="16" fillId="0" borderId="1" xfId="0" applyFont="1" applyFill="1" applyBorder="1" applyAlignment="1" quotePrefix="1">
      <alignment horizontal="center" vertical="center"/>
    </xf>
    <xf numFmtId="0" fontId="12" fillId="0" borderId="1" xfId="0" applyFont="1" applyFill="1" applyBorder="1" applyAlignment="1" quotePrefix="1">
      <alignment horizontal="center" vertical="center" wrapText="1"/>
    </xf>
    <xf numFmtId="0" fontId="16" fillId="0" borderId="1" xfId="0" applyFont="1" applyBorder="1" applyAlignment="1" quotePrefix="1">
      <alignment horizontal="center" vertical="center"/>
    </xf>
    <xf numFmtId="178" fontId="16" fillId="0" borderId="1" xfId="0" applyNumberFormat="1" applyFont="1" applyFill="1" applyBorder="1" applyAlignment="1" quotePrefix="1">
      <alignment horizontal="center" vertical="center"/>
    </xf>
    <xf numFmtId="0" fontId="0" fillId="0" borderId="1" xfId="0" applyBorder="1" applyAlignment="1" quotePrefix="1">
      <alignment horizontal="center" vertical="center" wrapText="1"/>
    </xf>
    <xf numFmtId="0" fontId="1" fillId="0" borderId="1" xfId="0" applyFont="1" applyBorder="1" applyAlignment="1" quotePrefix="1">
      <alignment horizontal="center" vertical="center"/>
    </xf>
    <xf numFmtId="0" fontId="4" fillId="0" borderId="1" xfId="0" applyFont="1" applyBorder="1" applyAlignment="1" quotePrefix="1">
      <alignment horizontal="center"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11" xfId="49"/>
    <cellStyle name="常规 31" xfId="50"/>
    <cellStyle name="常规 21" xfId="51"/>
    <cellStyle name="常规 10" xfId="52"/>
    <cellStyle name="常规 5" xfId="53"/>
    <cellStyle name="常规_Sheet1" xfId="54"/>
    <cellStyle name="常规 2" xfId="55"/>
    <cellStyle name="样式 1" xfId="56"/>
    <cellStyle name="常规 33" xfId="57"/>
    <cellStyle name="常规 10 2" xfId="58"/>
  </cellStyles>
  <dxfs count="2">
    <dxf>
      <font>
        <name val="宋体"/>
        <scheme val="none"/>
        <b val="0"/>
        <i val="0"/>
        <strike val="0"/>
        <u val="none"/>
        <sz val="11"/>
        <color rgb="FF9C0006"/>
      </font>
      <fill>
        <patternFill patternType="solid">
          <bgColor rgb="FFFFC7CE"/>
        </patternFill>
      </fill>
    </dxf>
    <dxf>
      <font>
        <name val="宋体"/>
        <scheme val="none"/>
        <b val="0"/>
        <i val="0"/>
        <strike val="0"/>
        <u val="none"/>
        <sz val="11"/>
        <color rgb="FF9C0006"/>
      </font>
    </dxf>
  </dxfs>
  <tableStyles count="0" defaultTableStyle="TableStyleMedium2" defaultPivotStyle="PivotStyleLight16"/>
  <colors>
    <mruColors>
      <color rgb="00FFFFF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789.4314930556" refreshedBy="Administrator" recordCount="101">
  <cacheSource type="worksheet">
    <worksheetSource ref="A1:CA1048576" sheet="田野农谷 (2)"/>
  </cacheSource>
  <cacheFields count="79">
    <cacheField name="序号" numFmtId="0">
      <sharedItems containsString="0" containsBlank="1" containsNumber="1" containsInteger="1" minValue="0" maxValue="100" count="1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m/>
      </sharedItems>
    </cacheField>
    <cacheField name="工号" numFmtId="0">
      <sharedItems containsBlank="1" count="96">
        <s v="TYNG-012"/>
        <s v="TYNG-110"/>
        <s v="TYNG-143"/>
        <s v="TYNG-336"/>
        <s v="TYNG-005"/>
        <s v="TYNG-437"/>
        <s v="TYNG-142"/>
        <s v="TYNG-450"/>
        <s v="TYNG-108"/>
        <s v="TYNG-180"/>
        <s v="TYNG-358"/>
        <s v="TYNG-393"/>
        <s v="TYNG-421"/>
        <s v="TYNG-134"/>
        <s v="TYNG-332"/>
        <s v="TYNG-446"/>
        <s v="TYNG-447"/>
        <s v="TYNG-009"/>
        <s v="TYNG-064"/>
        <s v="TYNG-140"/>
        <s v="TYNG-159"/>
        <s v="TYNG-231"/>
        <s v="TYNG-1005"/>
        <s v="TYNG-286"/>
        <s v="TYNG-335"/>
        <s v="TYNG-351"/>
        <s v="TYNG-371"/>
        <s v="TYNG-373"/>
        <s v="TYNG-387"/>
        <s v="TYNG-408"/>
        <s v="TYNG-410"/>
        <s v="TYNG-411"/>
        <s v="TYNG-425"/>
        <s v="TYNG-010"/>
        <s v="TYNG-058"/>
        <s v="TYNG-026"/>
        <s v="TYNG-252"/>
        <s v="TYNG-279"/>
        <s v="TYNG-311"/>
        <s v="TYNG-316"/>
        <s v="TYNG-350"/>
        <s v="TYNG-395"/>
        <s v="TYNG-160"/>
        <s v="TYNG-176"/>
        <s v="TYNG-055"/>
        <s v="TYNG-073"/>
        <s v="TYNG-088"/>
        <s v="TYNG-123"/>
        <s v="TYNG-107"/>
        <s v="TYNG-120"/>
        <s v="TYNG-122"/>
        <s v="TYNG-087"/>
        <s v="TYNG-196"/>
        <s v="TYNG-224"/>
        <s v="TYNG-236"/>
        <s v="TYNG-238"/>
        <s v="TYNG-239"/>
        <s v="TYNG-186"/>
        <s v="TYNG-278"/>
        <s v="TYNG-305"/>
        <s v="TYNG-337"/>
        <s v="TYNG-341"/>
        <s v="TYNG-353"/>
        <s v="TYNG-360"/>
        <s v="TYNG-363"/>
        <s v="TYNG-366"/>
        <s v="TYNG-392"/>
        <s v="TYNG-394"/>
        <s v="TYNG-403"/>
        <s v="TYNG-220"/>
        <s v="TYNG-413"/>
        <s v="TYNG-417"/>
        <s v="TYNG-420"/>
        <s v="TYNG-444"/>
        <s v="TYNG-084"/>
        <s v="TYNG-021"/>
        <s v="TYNG-212"/>
        <s v="TYNG-302"/>
        <s v="TYNG-303"/>
        <s v="TYNG-309"/>
        <s v="TYNG-287"/>
        <s v="TYNG-431"/>
        <s v="TYNG-434"/>
        <s v="TYNG-435"/>
        <s v="TYNG-436"/>
        <s v="TYNG-438"/>
        <s v="TYNG-439"/>
        <s v="TYNG-440"/>
        <s v="TYNG-441"/>
        <s v="TYNG-443"/>
        <s v="TYNG-452"/>
        <s v="TYNG-453"/>
        <s v="TYNG-455"/>
        <s v="TYNG-456"/>
        <s v="TYNG-458"/>
        <m/>
      </sharedItems>
    </cacheField>
    <cacheField name="姓名" numFmtId="0">
      <sharedItems containsBlank="1" count="99">
        <s v="张明"/>
        <s v="吴晓霞"/>
        <s v="赵聪"/>
        <s v="杜畅"/>
        <s v="邹连香"/>
        <s v="潘红琼"/>
        <s v="李凤皇"/>
        <s v="王芳"/>
        <s v="喻艳"/>
        <s v="吴镜平"/>
        <s v="高文利"/>
        <s v="程静"/>
        <s v="黎冬霜"/>
        <s v="严锦"/>
        <s v="庞龙斌"/>
        <s v="何晨"/>
        <s v="余德胜"/>
        <s v="王洪平"/>
        <s v="聂小玲"/>
        <s v="毛四雄"/>
        <s v="马春霞"/>
        <s v="李学飞"/>
        <s v="瞿顺清"/>
        <s v="李守恒"/>
        <s v="黎勇"/>
        <s v="张雪梅"/>
        <s v="林艳"/>
        <s v="方小荣"/>
        <s v="胡勇星"/>
        <s v="何晓光"/>
        <s v="梁爽"/>
        <s v="田沂雨"/>
        <s v="许泽刚"/>
        <s v="倪书成"/>
        <s v="苏中心"/>
        <s v="李小瑞"/>
        <s v="张小红"/>
        <s v="王敢斌"/>
        <s v="黄保红"/>
        <s v="罗刚"/>
        <s v="李冬"/>
        <s v="宁明友"/>
        <s v="庞丽红"/>
        <s v="曹琴"/>
        <s v="张艳涛"/>
        <s v="范燕东"/>
        <s v="孟建立"/>
        <s v="陈爱蓉"/>
        <s v="汪先富"/>
        <s v="康俊"/>
        <s v="刘芬芬"/>
        <s v="张德艳"/>
        <s v="聂勇军"/>
        <s v="杨智军"/>
        <s v="蔡玲玲"/>
        <s v="赵建礼"/>
        <s v="马国华"/>
        <s v="舒春霞"/>
        <s v="孟运香"/>
        <s v="李正军"/>
        <s v="邓明军"/>
        <s v="张留栓"/>
        <s v="谢杰杰"/>
        <s v="蔡军霞"/>
        <s v="陈玲"/>
        <s v="王庆丰"/>
        <s v="何辉"/>
        <s v="甄景萍"/>
        <s v="徐勇"/>
        <s v="严凤"/>
        <s v="马景云"/>
        <s v="孙小虎"/>
        <s v="王志兰"/>
        <s v="范小艳"/>
        <s v="曾珲"/>
        <s v="刘小平"/>
        <s v="王金慧"/>
        <s v="孙留辉"/>
        <s v="郑芬"/>
        <s v="闵炎标"/>
        <s v="程佳琪"/>
        <s v="时丽平"/>
        <s v="胡宏林"/>
        <s v="万怀进"/>
        <s v="刘海兵"/>
        <s v="刘玉麒"/>
        <s v="程传祥"/>
        <s v="袁旭东"/>
        <s v="潘国友"/>
        <s v="杨太琴"/>
        <s v="单宫廷"/>
        <s v="李炎炎"/>
        <s v="娄艳霞"/>
        <s v="李明明"/>
        <s v="朱玲丽"/>
        <s v="丁义勇"/>
        <s v="钱慧敏"/>
        <s v="李国文"/>
        <m/>
      </sharedItems>
    </cacheField>
    <cacheField name="性别" numFmtId="0">
      <sharedItems containsBlank="1" count="3">
        <s v="男"/>
        <s v="女"/>
        <m/>
      </sharedItems>
    </cacheField>
    <cacheField name="部门" numFmtId="0">
      <sharedItems containsBlank="1" count="11">
        <s v="行政人力资源部"/>
        <s v="财务部"/>
        <s v="采购计划部"/>
        <s v="质检部"/>
        <s v="仓储部"/>
        <s v="工程部"/>
        <s v="生产部"/>
        <s v="质量部"/>
        <s v="研发部"/>
        <s v="生产部储备"/>
        <m/>
      </sharedItems>
    </cacheField>
    <cacheField name="法人" numFmtId="0">
      <sharedItems containsBlank="1" count="2">
        <s v="湖北田野农谷生物科技有限公司"/>
        <m/>
      </sharedItems>
    </cacheField>
    <cacheField name="职位" numFmtId="0">
      <sharedItems containsBlank="1" count="66">
        <s v="行政副经理"/>
        <s v="行政文员"/>
        <s v="网络管理员"/>
        <s v="司机"/>
        <s v="人事"/>
        <s v="帮厨"/>
        <s v="后勤员"/>
        <s v="保洁员"/>
        <s v="财务副经理"/>
        <s v="会计"/>
        <s v="税务会计"/>
        <s v="财务会计"/>
        <s v="采购员"/>
        <s v="质检员"/>
        <s v="冷库设备机组管理员"/>
        <s v="仓储副经理"/>
        <s v="常温成品仓管员"/>
        <s v="叉车班长"/>
        <s v="冷冻成品仓管员"/>
        <s v="仓储物流主管"/>
        <s v="叉车工"/>
        <s v="包材/化学品仓管员"/>
        <s v="物流专员"/>
        <s v="原辅料/五金仓管员"/>
        <s v="冷冻原料仓管员"/>
        <s v="高级技工"/>
        <s v="机修工"/>
        <s v="污水处理工"/>
        <s v="电工"/>
        <s v="锅炉工"/>
        <s v="生产副经理"/>
        <s v="统计/计划员"/>
        <s v="生产助理"/>
        <s v="调配工段长"/>
        <s v="灌装工段长"/>
        <s v="后包工段长"/>
        <s v="杀菌机/卧离机"/>
        <s v="包装（贴盖机）"/>
        <s v="杀菌工段长"/>
        <s v="生产主管"/>
        <s v="包装（开箱机/理瓶机）"/>
        <s v="杀菌机/装箱机"/>
        <s v="调配/打浆段"/>
        <s v="调配"/>
        <s v="喷码机"/>
        <s v="包装（开箱机）/批次罐"/>
        <s v="包装（封箱机）"/>
        <s v="灌装"/>
        <s v="包装"/>
        <s v="杯榨机"/>
        <s v="卫生员"/>
        <s v="打浆机/浓缩"/>
        <s v="杀菌机"/>
        <s v="工程师"/>
        <s v="质检副经理"/>
        <s v="微生物检测"/>
        <s v="质检主管"/>
        <s v="质量经理"/>
        <s v="体系员"/>
        <s v="研发助理"/>
        <s v="浓缩塔储备工"/>
        <s v="试用期操作工"/>
        <s v="厨师"/>
        <s v="行政人力资源经理"/>
        <s v="行政人力专员"/>
        <m/>
      </sharedItems>
    </cacheField>
    <cacheField name="入职日期" numFmtId="0">
      <sharedItems containsString="0" containsBlank="1" containsNonDate="0" containsDate="1" minDate="2015-11-01T00:00:00" maxDate="2025-05-06T00:00:00" count="84">
        <d v="2015-11-16T00:00:00"/>
        <d v="2019-02-26T00:00:00"/>
        <d v="2019-04-11T00:00:00"/>
        <d v="2022-05-25T00:00:00"/>
        <d v="2015-11-01T00:00:00"/>
        <d v="2024-08-01T00:00:00"/>
        <d v="2025-02-20T00:00:00"/>
        <d v="2018-10-07T00:00:00"/>
        <d v="2020-04-01T00:00:00"/>
        <d v="2023-02-13T00:00:00"/>
        <d v="2023-09-11T00:00:00"/>
        <d v="2024-03-18T00:00:00"/>
        <d v="2019-03-01T00:00:00"/>
        <d v="2022-05-19T00:00:00"/>
        <d v="2024-10-04T00:00:00"/>
        <d v="2024-10-07T00:00:00"/>
        <d v="2018-04-02T00:00:00"/>
        <d v="2019-03-25T00:00:00"/>
        <d v="2019-06-03T00:00:00"/>
        <d v="2021-02-20T00:00:00"/>
        <d v="2019-11-01T00:00:00"/>
        <d v="2021-06-02T00:00:00"/>
        <d v="2022-09-20T00:00:00"/>
        <d v="2023-06-25T00:00:00"/>
        <d v="2023-07-01T00:00:00"/>
        <d v="2023-08-07T00:00:00"/>
        <d v="2024-02-19T00:00:00"/>
        <d v="2024-02-20T00:00:00"/>
        <d v="2024-03-02T00:00:00"/>
        <d v="2024-05-27T00:00:00"/>
        <d v="2016-01-11T00:00:00"/>
        <d v="2018-03-05T00:00:00"/>
        <d v="2021-03-09T00:00:00"/>
        <d v="2021-05-14T00:00:00"/>
        <d v="2021-09-14T00:00:00"/>
        <d v="2021-11-03T00:00:00"/>
        <d v="2022-08-23T00:00:00"/>
        <d v="2023-11-06T00:00:00"/>
        <d v="2019-08-16T00:00:00"/>
        <d v="2018-05-21T00:00:00"/>
        <d v="2018-07-06T00:00:00"/>
        <d v="2019-05-06T00:00:00"/>
        <d v="2019-05-13T00:00:00"/>
        <d v="2020-06-20T00:00:00"/>
        <d v="2020-12-01T00:00:00"/>
        <d v="2021-02-24T00:00:00"/>
        <d v="2021-03-01T00:00:00"/>
        <d v="2021-03-11T00:00:00"/>
        <d v="2021-04-13T00:00:00"/>
        <d v="2021-05-10T00:00:00"/>
        <d v="2021-07-29T00:00:00"/>
        <d v="2022-05-31T00:00:00"/>
        <d v="2022-06-07T00:00:00"/>
        <d v="2022-09-24T00:00:00"/>
        <d v="2023-02-20T00:00:00"/>
        <d v="2023-03-06T00:00:00"/>
        <d v="2023-09-06T00:00:00"/>
        <d v="2023-10-05T00:00:00"/>
        <d v="2023-12-18T00:00:00"/>
        <d v="2024-03-07T00:00:00"/>
        <d v="2024-09-09T00:00:00"/>
        <d v="2018-05-28T00:00:00"/>
        <d v="2016-02-24T00:00:00"/>
        <d v="2020-09-17T00:00:00"/>
        <d v="2021-07-02T00:00:00"/>
        <d v="2021-08-10T00:00:00"/>
        <d v="2024-07-05T00:00:00"/>
        <d v="2024-07-22T00:00:00"/>
        <d v="2025-01-03T00:00:00"/>
        <d v="2024-07-15T00:00:00"/>
        <d v="2024-09-02T00:00:00"/>
        <d v="2025-03-11T00:00:00"/>
        <d v="2025-03-17T00:00:00"/>
        <d v="2025-03-20T00:00:00"/>
        <d v="2025-02-18T00:00:00"/>
        <d v="2025-03-16T00:00:00"/>
        <d v="2025-03-25T00:00:00"/>
        <d v="2025-03-01T00:00:00"/>
        <d v="2025-03-18T00:00:00"/>
        <d v="2025-04-01T00:00:00"/>
        <d v="2025-04-12T00:00:00"/>
        <d v="2025-04-14T00:00:00"/>
        <d v="2025-05-06T00:00:00"/>
        <m/>
      </sharedItems>
    </cacheField>
    <cacheField name="个人电话" numFmtId="0">
      <sharedItems containsBlank="1" containsNumber="1" containsInteger="1" containsMixedTypes="1" count="101">
        <n v="13197133302"/>
        <n v="13268968337"/>
        <n v="15926668783"/>
        <n v="13257231992"/>
        <n v="13477384826"/>
        <s v="19820594095"/>
        <n v="17573048926"/>
        <n v="15871989405"/>
        <n v="13477371019"/>
        <n v="13797928108"/>
        <n v="15272091137"/>
        <n v="13872932293"/>
        <n v="18772688312"/>
        <n v="18872438626"/>
        <n v="13469766636"/>
        <n v="18933412821"/>
        <n v="13972869793"/>
        <n v="13872902745"/>
        <n v="15771068551"/>
        <n v="18727593227"/>
        <n v="13451202281"/>
        <n v="18971857289"/>
        <n v="18162778161"/>
        <s v="13098848611"/>
        <n v="13597947515"/>
        <n v="13774029675"/>
        <n v="15872992452"/>
        <n v="15923708983"/>
        <n v="18086288036"/>
        <n v="15759531811"/>
        <n v="15071980390"/>
        <n v="13597923212"/>
        <n v="17683894039"/>
        <n v="13997942772"/>
        <n v="13581354849"/>
        <n v="13093208308"/>
        <n v="13774052042"/>
        <n v="13177179510"/>
        <s v="13797942211"/>
        <n v="15871987067"/>
        <n v="19359824003"/>
        <n v="13197131292"/>
        <n v="17855591722"/>
        <n v="15608691025"/>
        <n v="13477372532"/>
        <n v="13297137702"/>
        <n v="13986980492"/>
        <n v="18271198597"/>
        <n v="13032750052"/>
        <n v="15872915345"/>
        <n v="13227165025"/>
        <n v="13736367958"/>
        <n v="18222499648"/>
        <n v="15271795054"/>
        <n v="13774070936"/>
        <n v="19533567024"/>
        <n v="13872920980"/>
        <n v="13597938165"/>
        <n v="13477584601"/>
        <n v="15926685624"/>
        <n v="18672466169"/>
        <n v="18373034321"/>
        <n v="18086278485"/>
        <n v="13068180281"/>
        <n v="15220238192"/>
        <n v="13822101917"/>
        <n v="15327558001"/>
        <n v="17764228136"/>
        <n v="13098428068"/>
        <n v="13085183626"/>
        <n v="18772703095"/>
        <n v="17786767031"/>
        <n v="15871988462"/>
        <n v="18913087894"/>
        <n v="18971843273"/>
        <n v="13477352590"/>
        <s v="13657159523"/>
        <n v="15527238623"/>
        <n v="13477570879"/>
        <n v="15872908802"/>
        <s v="15071986344"/>
        <n v="13774088433"/>
        <n v="18986053541"/>
        <n v="13451168027"/>
        <n v="15571362032"/>
        <n v="13006017041"/>
        <n v="15972625070"/>
        <n v="13886861476"/>
        <n v="15872961939"/>
        <n v="18872426551"/>
        <n v="13177173368"/>
        <n v="15071911225"/>
        <n v="15201462668"/>
        <n v="15071983203"/>
        <n v="13677231138"/>
        <n v="17389819211"/>
        <s v="18727608635"/>
        <n v="13431366893"/>
        <n v="13971354070"/>
        <n v="13657156482"/>
        <m/>
      </sharedItems>
    </cacheField>
    <cacheField name="身份证号" numFmtId="0">
      <sharedItems containsBlank="1" count="101">
        <s v="420801197801024038"/>
        <s v="429006198801180445"/>
        <s v="420801198810304052"/>
        <s v="420821199211064317"/>
        <s v="422432197506036524"/>
        <s v="422432196811016584"/>
        <s v="430681196210145215"/>
        <s v="42243219760108652X"/>
        <s v="422432198001176526"/>
        <s v="422432196703086526"/>
        <s v="42082119860603402X"/>
        <s v="42010619790625006X"/>
        <s v="42243219711201658X"/>
        <s v="420821199011225649"/>
        <s v="420821198511036022"/>
        <s v="420801198808054330"/>
        <s v="500224200107032317"/>
        <s v="420801197005014058"/>
        <s v="422432197210026511"/>
        <s v="420821197912166122"/>
        <s v="420821197010296059"/>
        <s v="422432198107226528"/>
        <s v="130728199001246040"/>
        <s v="420801196803014031"/>
        <s v="420821198709034313"/>
        <s v="420821197408136055"/>
        <s v="422432197911246541"/>
        <s v="500230199902187424"/>
        <s v="420801198210084025"/>
        <s v="420821196911116030"/>
        <s v="420801198107154013"/>
        <s v="420801198609054012"/>
        <s v="420801199412114039"/>
        <s v="422432197205201338"/>
        <s v="422432197301256515"/>
        <s v="42082119651126603X"/>
        <s v="420621198104078654"/>
        <s v="422432197004286515"/>
        <s v="422432197112106518"/>
        <s v="42243219711230651X"/>
        <s v="430681197712110033"/>
        <s v="422432197801156510"/>
        <s v="420684199601171518"/>
        <s v="422432198007086548"/>
        <s v="420801198809184268"/>
        <s v="420821197509026082"/>
        <s v="420801199607204253"/>
        <s v="422432197111306518"/>
        <s v="420801197602274069"/>
        <s v="420821197404266047"/>
        <s v="420982197004200055"/>
        <s v="420801197609104273"/>
        <s v="420801198306214269"/>
        <s v="420801198610184260"/>
        <s v="422432197312256350"/>
        <s v="422432197309216518"/>
        <s v="420621198104150644"/>
        <s v="422432196904046555"/>
        <s v="422432197401016551"/>
        <s v="422432197703015028"/>
        <s v="422432197512095520"/>
        <s v="430681197312095719"/>
        <s v="420821197407114014"/>
        <s v="410426197208120110"/>
        <s v="420821198409176037"/>
        <s v="42082119781205502X"/>
        <s v="42082119810504502X"/>
        <s v="420821197612056095"/>
        <s v="42082119710207551X"/>
        <s v="420526197903041227"/>
        <s v="420801198907184034"/>
        <s v="420801198312064025"/>
        <s v="422432198205216526"/>
        <s v="34110319980513321X"/>
        <s v="422432196412236520"/>
        <s v="420821198503206087"/>
        <s v="420821198402155524"/>
        <s v="420801198409294265"/>
        <s v="420801198305024420"/>
        <s v="412727198801260084"/>
        <s v="420923198506110062"/>
        <s v="422427197508150119"/>
        <s v="420981200203093828"/>
        <s v="42088119950425812X"/>
        <s v="420922200206235318"/>
        <s v="420802200206300369"/>
        <s v="42080119700922401X"/>
        <s v="4209001200109037413"/>
        <s v="42243119700915681X"/>
        <s v="422428197710170355"/>
        <s v="422432197206136515"/>
        <s v="500229198405152722"/>
        <s v="34222119960918553X"/>
        <s v="420821198902186044"/>
        <s v="410222198903264069"/>
        <s v="420821198802091515"/>
        <s v="420821198204176025"/>
        <s v="420801197603024053"/>
        <s v="42082119960824456X"/>
        <s v="422432196911156517"/>
        <m/>
      </sharedItems>
    </cacheField>
    <cacheField name="籍贯" numFmtId="0">
      <sharedItems containsBlank="1" count="26">
        <s v="江苏"/>
        <s v="湖北天门"/>
        <s v="湖北荆门"/>
        <s v="河南"/>
        <s v="湖北京山"/>
        <s v="湖北"/>
        <s v="湖南汨罗"/>
        <s v="湖北云梦"/>
        <s v="湖北荆州"/>
        <s v="湖北襄阳"/>
        <s v="河北"/>
        <s v="重庆丰都"/>
        <s v="湖北仙桃"/>
        <s v="山东"/>
        <s v="湖北宜城"/>
        <s v="湖北安陆"/>
        <s v="湖北宜昌"/>
        <s v="湖北襄樊"/>
        <s v="安徽滁州"/>
        <s v="湖北钟祥"/>
        <s v="湖北孝感"/>
        <s v="湖北武汉"/>
        <s v="湖北随县"/>
        <s v="安徽砀山"/>
        <s v="海南海口"/>
        <m/>
      </sharedItems>
    </cacheField>
    <cacheField name="户籍地址" numFmtId="0">
      <sharedItems containsBlank="1" count="101">
        <s v="湖北省荆门市东宝区屈家岭管理区建设南路16座02号"/>
        <s v="湖北省荆门市屈家岭管理区畜牧分场梭灯队0019号100"/>
        <s v="湖北省荆门市东宝区屈家岭管理区团山100号401"/>
        <s v="湖北省荆门市东宝区屈家岭管理区高湖分场王台队227_x000a_"/>
        <s v="湖北省荆门市东宝区屈家岭管理区畜牧分场乳品奶牛厂0010号153"/>
        <s v="湖北省荆门市东宝区屈家岭管理区何集分场路东区246"/>
        <s v="湖南省汩罗市罗江镇山秀村八组4号"/>
        <s v="湖北省荆门市东宝区屈家岭管理区五三农场何集分场西湖队044"/>
        <s v="湖北省荆门市东宝区屈家岭管理区五三大道76座一单元408号"/>
        <s v="湖北省荆门市东宝区屈家岭管理区五三中路16座5栋二单元407"/>
        <s v="湖北省荆门市东宝区屈家岭管理区园艺分场王家榜队193号"/>
        <s v="湖北省荆州市荆州区荆南路2号"/>
        <s v="湖北省襄樊市襄城区中原路35号"/>
        <s v="湖北省荆门市东宝区屈家岭管理区水泥厂180号"/>
        <s v="湖北省京山县永隆镇下陈桥村五组22号"/>
        <s v="湖北省荆门市东宝区屈家岭管理区何集分场路东区158"/>
        <s v="湖北省荆门市东宝区屈家岭管理区长滩分场月宝山队26号"/>
        <s v="湖北省荆门市东宝区屈家岭管理区建设路44座"/>
        <s v="湖北省荆门市东宝区屈家岭管理区创业路163座二栋二单元101号"/>
        <s v="湖北省京山县永隆镇张常台村四组58号"/>
        <s v="湖北省京山县永隆镇高湖街村二组101号"/>
        <s v="湖北省荆门市东宝区屈家岭管理区高湖分场王台队099"/>
        <s v="河北省张家口市怀安县怀安城镇民主街镇中街5号"/>
        <s v="湖北省荆门市屈家岭管理区创业路157座三栋2-5号"/>
        <s v="湖北省荆门市东宝区屈家岭管理区高湖分场下洋队450_x000a_"/>
        <s v="湖北省京山县永隆镇黎家垸村三组61号"/>
        <s v="湖北省荆门市东宝区屈家岭管理区复兴巷31座01号"/>
        <s v="重庆市丰都县武平镇磨刀洞村6组23号"/>
        <s v="湖北省荆门市东宝区屈家岭管理区水泥厂53号"/>
        <s v="湖北省京山县永隆镇公益村五组052号"/>
        <s v="湖北省荆门市东宝区屈家岭管理区畜禽公司248号"/>
        <s v="湖北省荆门市东宝区屈家岭管理区团山272号"/>
        <s v="湖北省荆门市东宝区屈家岭管理区畜禽公司242号"/>
        <s v="湖北省荆门市东宝区屈家岭管理区水泥厂5栋5"/>
        <s v="湖北省荆门市东宝区屈家岭管理区建材厂1座102号"/>
        <s v="湖北省京山县永隆镇高湖街一组54号"/>
        <s v="湖北省襄阳市城区欧庙镇李老村1组"/>
        <s v="湖北省荆门市东宝区屈家岭管理区高湖分场杨丰队029"/>
        <s v="湖北省荆门市东宝区屈家岭管理区石果湾029号"/>
        <s v="湖北省荆门市东宝区屈家岭管理区水泥厂68号"/>
        <s v="湖南省汨罗市屈原管理区营田镇青山寺居委会金贸居民区"/>
        <s v="湖北省荆门市东宝区屈家岭管理区罗汉寺分场机关23号"/>
        <s v="湖北省宜城市小河镇余云村八组"/>
        <s v="湖北省荆门市东宝区屈家岭管理区蔡垱分场孙坡队0029号008"/>
        <s v="湖北省荆门市东宝区屈家岭管理区蔡垱分场坡湾队0033号068"/>
        <s v="湖北省京山县永隆镇聂畈村六组68号"/>
        <s v="湖北省荆门市东宝区屈家岭管理区蔡垱分场回龙寺0025号098"/>
        <s v="湖北省荆门市屈家岭管理区畜牧分场梭灯队0019号038"/>
        <s v="湖北省荆门市东宝区屈家岭管理区畜禽公司199号"/>
        <s v="湖北省京山县永隆镇曾口村007号"/>
        <s v="湖北省安陆市东城经济开发区一中东路2号5栋2单元301室"/>
        <s v="湖北省荆门市东宝区屈家岭管理区屈岭侧路7座二单元410"/>
        <s v="湖北省荆门市东宝区屈家岭管理区蓝天巷37座4号"/>
        <s v="湖北省荆门市东宝区屈家岭管理区畜牧分场三合队290号 "/>
        <s v="湖北省京山县永隆镇聂畈村六组67号"/>
        <s v="湖北省荆门市东宝区屈家岭管理区水泥厂172号"/>
        <s v="湖北省襄樊市襄城区欧庙镇李老村1组"/>
        <s v="湖北省荆门市东宝区屈家岭管理区畜牧分场乳品奶牛厂0010号040"/>
        <s v="湖北省荆门市东宝区屈家岭管理区畜牧分场乳品奶牛厂170号"/>
        <s v="湖北省京山县雁门口镇长岗村二组11号"/>
        <s v="湖北省京山县永隆镇黎家大岭村五组59号"/>
        <s v="湖南省汨罗市三江镇十全村七组"/>
        <s v="湖北省荆门市东宝区屈家岭管理区畜牧分场赵冲队0020号041"/>
        <s v="湖北省荆门市东宝区屈家岭管理区何集分场西湖队特1号"/>
        <s v="湖北省京山市永隆镇新河扣村三组52号"/>
        <s v="湖北省荆门市东宝区屈家岭管理区园艺分场王家榜队43号"/>
        <s v="湖北省京山县雁门口镇常家山村六组37号"/>
        <s v="湖北省京山县永隆镇高湖街二组35号"/>
        <s v="湖北省京山县石龙镇何垱村六组16号"/>
        <s v="湖北省兴山县古夫镇中阳垭村1组38号"/>
        <s v="湖北省荆门市东宝区屈家岭管理区畜牧分场梭灯队375号"/>
        <s v="湖北省荆门市东宝区屈家岭管理区中心巷3号号"/>
        <s v="湖北省荆门市东宝区屈家岭管理区罐头厂292号"/>
        <s v="安徽省滁州市南谯区黄泥岗镇街道村雷西组56号"/>
        <s v="湖北省荆门市东宝区屈家岭管理区制药厂86"/>
        <s v="湖北省荆门市东宝区屈家岭管理区屈岭路33座3单元407号"/>
        <s v="湖北省荆门市东宝区屈家岭管理区何集办事处王台队王台组8号"/>
        <s v="湖北省荆门市东宝区屈家岭管理区养鹿场0014号095"/>
        <s v="湖北省荆门市东宝区屈家岭管理区何集分场熊桥队058 "/>
        <s v="湖北省荆门市东宝区屈家岭管理区建设路21座30号"/>
        <s v="湖北省荆门市东宝区屈家岭管理区园艺分场综合厂0016号107"/>
        <s v="湖北省荆门市东宝区长宁大道81号"/>
        <s v="湖北省应城市田店镇潘马村赵家湾19-1"/>
        <s v="湖北省钟祥市丰乐镇丰岭村四组35号"/>
        <s v="武汉市洪山区南李路28号"/>
        <s v="湖北省荆门市东宝区东光路1号"/>
        <s v="湖北荆门市屈家岭管理区赵坡社区"/>
        <s v="湖北省随县三里岗镇饶山街9号"/>
        <s v="湖北省钟祥市客店镇官弯村四组"/>
        <s v="湖北省荆门市屈家岭管理区创业路157座"/>
        <s v="湖北荆门市东宝区屈家岭管理区创业路50号"/>
        <s v="湖北省京山市石龙镇石龙水库管理处10号"/>
        <s v="安徽省砀山县良梨镇单庄自然村008"/>
        <s v="湖北京山市永隆镇"/>
        <s v="湖北省荆门市东宝区屈家岭管理区何集办事处熊桥队寇台组19号"/>
        <s v="海南省海口市龙华区大园社区"/>
        <s v="湖北省京山县永隆镇聂畈村六组56号"/>
        <s v="湖北省荆门市东宝区屈家岭管理区蔡垱分场回龙寺0025号159"/>
        <s v="湖北省荆门市京山市钱场镇钱场村"/>
        <s v="湖北省荆门市东宝区屈家岭管理区修建队050号"/>
        <m/>
      </sharedItems>
    </cacheField>
    <cacheField name="户籍类型" numFmtId="0">
      <sharedItems containsBlank="1" count="5">
        <s v="农业户口"/>
        <s v="居民户口"/>
        <s v="非农业户口"/>
        <s v="城镇户口"/>
        <m/>
      </sharedItems>
    </cacheField>
    <cacheField name="现居地址" numFmtId="0">
      <sharedItems containsBlank="1" count="87">
        <s v="湖北省荆门市东宝区屈家岭管理区建设南路16座02号"/>
        <s v="湖北省荆门市屈家岭管理区屈家岭领秀天地16栋"/>
        <s v="湖北省荆门市屈家岭管理区八号小区A栋401"/>
        <s v="湖北省荆门市东宝区屈家岭管理区高湖分场王台队227_x000a_"/>
        <s v="湖北省荆门市东宝区屈家岭管理区君悦花园4栋302"/>
        <s v="湖北省荆门市东宝区屈家岭管理区万佳华府"/>
        <s v="湖北田野农谷生物科技有限公司"/>
        <s v="湖北省荆门市东宝区屈家岭管理区五三农场何集分场西湖队044"/>
        <s v="湖北省荆门市屈家岭管理区供电所家属大院内"/>
        <s v="湖北省荆门市屈家岭管理区屈岭社区毛岭"/>
        <s v="湖北省荆门市东宝区屈家岭管理区建设南路"/>
        <s v="湖北荆门市屈家岭管理区水泥厂180号"/>
        <s v="湖北省京山县永隆镇下陈桥村五组22号"/>
        <s v="湖北省荆门市屈家岭管理区万佳华府"/>
        <s v="湖北省荆门市屈家岭管理区万佳华府18栋"/>
        <s v="湖北省荆门市东宝区屈家岭管理区屈家岭美其巷"/>
        <s v="湖北省荆门市东宝区屈家岭管理区桃源居"/>
        <s v="湖北省京山县永隆镇张常台村四组58号"/>
        <s v="湖北省京山县永隆镇高湖街村二组101号"/>
        <s v="湖北省荆门市东宝区屈家岭管理区岭秀天地"/>
        <s v="湖北省京山县雁门口镇常家山村五组"/>
        <s v="湖北省荆门市东宝区屈家岭管理区运通花园"/>
        <s v="湖北省荆门市屈家岭管理区君悦花园3栋401_x000a_"/>
        <s v="湖北省京山县永隆镇黎家垸村三组61号"/>
        <s v="湖北省荆门市东宝区屈家岭管理区樱桃苑18栋105号"/>
        <s v="湖北省荆门市东宝区屈家岭管理区政务服务中心家属楼一单元502"/>
        <s v="湖北省荆门市东宝区屈家岭管理区水泥厂53号"/>
        <s v="湖北省京山县永隆镇公益村五组052号"/>
        <s v="湖北省荆门市东宝区屈家岭管理区张塘湾"/>
        <s v="湖北省荆门市东宝区屈家岭管理区锦绣天城"/>
        <s v="湖北省荆门市东宝区屈家岭管理区景怡花苑"/>
        <s v="湖北省荆门市东宝区屈家岭管理区制药厂"/>
        <s v="湖北省荆门市东宝区屈家岭管理区万佳华府二期"/>
        <s v="湖北省京山县永隆镇高湖街一组54号"/>
        <s v="湖北省京山市雁门口镇新生水泥厂"/>
        <s v="湖北省荆门市屈家岭管理区老电影院"/>
        <s v="湖北省荆门市东宝区屈家岭管理区金岭龙城"/>
        <s v="湖北省荆门市东宝区屈家岭管理区东方明珠11栋"/>
        <s v="湖北省荆门市东宝区屈家岭管理区好吃佬街"/>
        <s v="湖北省荆门市东宝区屈家岭管理区五三豪庭"/>
        <s v="湖北省荆门市屈家岭管理区时代星辰"/>
        <s v="湖北省京山县永隆镇聂畈村六组68号"/>
        <s v="湖北省荆门市东宝区屈家岭管理区蔡垱分场回龙寺0025号098"/>
        <s v="湖北省荆门市屈家岭管理区畜牧分场梭灯队0019号038"/>
        <s v="湖北省荆门市东宝区屈家岭管理区美其巷"/>
        <s v="湖北省京山县永隆镇曾口村007号"/>
        <s v="湖北省荆门市东宝区屈家岭管理区步行街阳光大药房楼上"/>
        <s v="湖北省荆门市东宝区屈家岭管理区蓝天巷37座4号"/>
        <s v="湖北省荆门市东宝区屈家岭管理区畜牧分场三合队290号 "/>
        <s v="湖北省京山县永隆镇聂畈村六组67号"/>
        <s v="湖北省荆门市东宝区屈家岭管理区回龙寺"/>
        <s v="湖北省荆门市东宝区屈家岭管理区徽商国际城"/>
        <s v="湖北省荆门市东宝区屈家岭管理区时代星辰"/>
        <s v="湖北省京山县永隆镇黎家大岭村五组59号"/>
        <s v="湖北省荆门市东宝区屈家岭管理区万佳华府一期"/>
        <s v="湖北省荆门市东宝屈家岭管理区司法局"/>
        <s v="湖北省京山市永隆镇新河扣村三组52号"/>
        <s v="湖北省京山县雁门口镇常家山村六组37号"/>
        <s v="湖北省京山县永隆镇高湖街二组35号"/>
        <s v="湖北省荆门市屈家岭管理区卧龙山庄"/>
        <s v="屈家岭管理区畜牧分场赵坡队二组073"/>
        <s v="湖北省荆门市东宝区屈家岭管理区屈岭路11号"/>
        <s v="湖北省荆门市屈家岭管理区回龙寺社区二十四层1903号"/>
        <s v="湖北省荆门市东宝区屈家岭管理区制药厂86"/>
        <s v="湖北省荆门市东宝区屈家岭管理区工商银行楼"/>
        <s v="湖北省荆门市东宝区屈家岭管理区何集办事处王台队王台组8号"/>
        <s v="湖北省荆门市东宝区屈家岭管理区运输队"/>
        <s v="湖北省荆门市东宝区屈家岭管理区建设路21座30号"/>
        <s v="湖北省荆门市东宝区屈家岭管理区园艺分场综合厂0016号107"/>
        <s v="湖北省荆门市金龙泉大道北辰花苑"/>
        <s v="湖北省应城市城中街道"/>
        <s v="湖北省荆门市屈家岭管理区回龙寺"/>
        <s v="湖北省武汉市东西湖区吴家山街道九坤五环华城"/>
        <s v="湖北省荆门市东宝区天鹅山庄38栋"/>
        <s v="湖北荆门市屈家岭管理区赵坡社区"/>
        <s v="湖北省随县三里岗镇饶山街9号"/>
        <s v="湖北田野农谷生物科技有限公司宿舍"/>
        <s v="湖北省荆门市屈家岭管理区创业路157座"/>
        <s v="湖北省京山市石龙镇石龙水库管理处10号"/>
        <s v="安徽省砀山县良梨镇单庄自然村008"/>
        <s v="湖北省荆门市东宝区屈家岭管理区何集办事处熊桥队寇台组19号"/>
        <s v="海南省海口市龙华区大园社区"/>
        <s v="湖北省京山县永隆镇聂畈村六组56号"/>
        <s v="湖北省荆门市东宝区屈家岭管理区蔡垱分场回龙寺0025号159"/>
        <s v="湖北省荆门市京山市钱场镇钱场村"/>
        <s v="湖北省荆门市东宝区屈家岭管理区太子广场"/>
        <m/>
      </sharedItems>
    </cacheField>
    <cacheField name="出生日期" numFmtId="0">
      <sharedItems containsBlank="1" count="101">
        <s v="1978-01-02"/>
        <s v="1988-01-18"/>
        <s v="1988-10-30"/>
        <s v="1992-11-06"/>
        <s v="1975-06-03"/>
        <s v="1968-11-01"/>
        <s v="1962-10-14"/>
        <s v="1976-1-8"/>
        <s v="1980-01-17"/>
        <s v="1967-03-08"/>
        <s v="1986-06-03"/>
        <s v="1979-06-25"/>
        <s v="1971-12-01"/>
        <s v="1990-11-22"/>
        <s v="1985-11-03"/>
        <s v="1988-08-05"/>
        <s v="2001-07-03"/>
        <s v="1970-05-01"/>
        <s v="1972-10-02"/>
        <s v="1979-12-16"/>
        <s v="1970-10-29"/>
        <s v="1981-07-22"/>
        <s v="1990-01-24"/>
        <s v="1968-03-01"/>
        <s v="1987-09-03"/>
        <s v="1974-08-13"/>
        <s v="1979-11-24"/>
        <s v="1999-02-18"/>
        <s v="1982-10-08"/>
        <s v="1969-11-11"/>
        <s v="1981-07-15"/>
        <s v="1986-09-05"/>
        <s v="1994-12-11"/>
        <s v="1972-05-20"/>
        <s v="1973-01-25"/>
        <s v="1965-11-26"/>
        <s v="1981-04-07"/>
        <s v="1970-04-28"/>
        <s v="1971-12-10"/>
        <s v="1971-12-30"/>
        <s v="1977-12-11"/>
        <s v="1978-01-15"/>
        <s v="1996-01-17"/>
        <s v="1980-07-08"/>
        <s v="1988-09-18"/>
        <s v="1975-09-02"/>
        <s v="1996-07-20"/>
        <s v="1971-11-30"/>
        <s v="1976-02-27"/>
        <s v="1974-04-26"/>
        <s v="1970-04-20"/>
        <s v="1976-09-10"/>
        <s v="1983-06-21"/>
        <s v="1986-10-18"/>
        <s v="1973-12-25"/>
        <s v="1973-09-21"/>
        <s v="1981-04-15"/>
        <s v="1969-04-04"/>
        <s v="1974-01-01"/>
        <s v="1977-03-01"/>
        <s v="1975-12-09"/>
        <s v="1973-12-09"/>
        <s v="1974-07-11"/>
        <s v="1972-08-12"/>
        <s v="1984-09-17"/>
        <s v="1978-12-05"/>
        <s v="1981-05-04"/>
        <s v="1976-12-05"/>
        <s v="1971-02-07"/>
        <s v="1979-03-04"/>
        <s v="1989-07-18"/>
        <s v="1983-12-06"/>
        <s v="1982-05-21"/>
        <s v="1998-05-13"/>
        <s v="1964-12-23"/>
        <s v="1985-03-20"/>
        <s v="1984-02-15"/>
        <s v="1984-09-29"/>
        <s v="1983-05-02"/>
        <s v="1988-01-26"/>
        <s v="1985-06-11"/>
        <s v="1975-08-15"/>
        <s v="2002-03-09"/>
        <s v="1995-04-25"/>
        <s v="2002-06-23"/>
        <s v="2002-06-30"/>
        <s v="1970-09-22"/>
        <s v="1200-10-90"/>
        <s v="1970-09-15"/>
        <s v="1977-10-17"/>
        <s v="1972-06-13"/>
        <s v="1984-05-15"/>
        <s v="1996-09-18"/>
        <s v="1989-02-18"/>
        <s v="1989-03-26"/>
        <s v="1988-02-09"/>
        <s v="1982-04-17"/>
        <s v="1976-03-02"/>
        <s v="1996-08-24"/>
        <s v="1969-11-15"/>
        <m/>
      </sharedItems>
    </cacheField>
    <cacheField name="年龄" numFmtId="0">
      <sharedItems containsString="0" containsBlank="1" containsNumber="1" containsInteger="1" minValue="0" maxValue="825" count="37">
        <n v="47"/>
        <n v="37"/>
        <n v="33"/>
        <n v="50"/>
        <n v="57"/>
        <n v="63"/>
        <n v="49"/>
        <n v="45"/>
        <n v="58"/>
        <n v="39"/>
        <n v="46"/>
        <n v="54"/>
        <n v="35"/>
        <n v="40"/>
        <n v="24"/>
        <n v="55"/>
        <n v="53"/>
        <n v="44"/>
        <n v="38"/>
        <n v="51"/>
        <n v="26"/>
        <n v="43"/>
        <n v="56"/>
        <n v="31"/>
        <n v="52"/>
        <n v="60"/>
        <n v="48"/>
        <n v="29"/>
        <n v="42"/>
        <n v="41"/>
        <n v="36"/>
        <n v="27"/>
        <n v="61"/>
        <n v="23"/>
        <n v="30"/>
        <n v="825"/>
        <m/>
      </sharedItems>
    </cacheField>
    <cacheField name="工龄" numFmtId="0">
      <sharedItems containsString="0" containsBlank="1" containsNumber="1" containsInteger="1" minValue="0" maxValue="9" count="10">
        <n v="9"/>
        <n v="6"/>
        <n v="2"/>
        <n v="0"/>
        <n v="5"/>
        <n v="1"/>
        <n v="7"/>
        <n v="4"/>
        <n v="3"/>
        <m/>
      </sharedItems>
    </cacheField>
    <cacheField name="民族" numFmtId="0">
      <sharedItems containsBlank="1" count="2">
        <s v="汉"/>
        <m/>
      </sharedItems>
    </cacheField>
    <cacheField name="用工性质" numFmtId="0">
      <sharedItems containsBlank="1" count="4">
        <s v="劳动用工"/>
        <s v="劳务用工"/>
        <s v="试用期"/>
        <m/>
      </sharedItems>
    </cacheField>
    <cacheField name="政治_x000a_面貌" numFmtId="0">
      <sharedItems containsBlank="1" count="4">
        <s v="党员"/>
        <s v="群众"/>
        <s v="团员"/>
        <m/>
      </sharedItems>
    </cacheField>
    <cacheField name="工作地点" numFmtId="0">
      <sharedItems containsBlank="1" count="2">
        <s v="湖北公司"/>
        <m/>
      </sharedItems>
    </cacheField>
    <cacheField name="薪资类别" numFmtId="0">
      <sharedItems containsBlank="1" count="2">
        <s v="固定月薪"/>
        <m/>
      </sharedItems>
    </cacheField>
    <cacheField name="职务级别" numFmtId="0">
      <sharedItems containsBlank="1" count="5">
        <s v="经理"/>
        <m/>
        <s v="财务副经理"/>
        <s v="主管"/>
        <s v="专员"/>
      </sharedItems>
    </cacheField>
    <cacheField name="薪资等级" numFmtId="0">
      <sharedItems containsString="0" containsBlank="1" containsNonDate="0" count="1">
        <m/>
      </sharedItems>
    </cacheField>
    <cacheField name="工作单位" numFmtId="0">
      <sharedItems containsBlank="1" count="80">
        <s v="湖北张湾仓储有限公司"/>
        <s v="东莞爱格升精密电子有限公司"/>
        <s v="北京大学第三医院"/>
        <s v="湖北东润木业有限公司"/>
        <s v="湖北爱斯曼食品有限公司"/>
        <s v="育华餐饮"/>
        <m/>
        <s v="幼儿园教师"/>
        <s v="荆门金色假日酒店有限公司_x000a_"/>
        <s v="五三电力局"/>
        <s v="湖北农谷现代农业产业发展有限公司_x000a_"/>
        <s v="屈家岭管理区税务局"/>
        <s v="江西金色农谷教育科技有限公司"/>
        <s v="湖北安能热电有限公司_x000a_"/>
        <s v="中山商联商务有限公司"/>
        <s v="编程"/>
        <s v="宁波陆辰包装科技有限公司"/>
        <s v="湖北诚兴日用品"/>
        <s v="湖北双胞胎饲料有限公司"/>
        <s v="湖北帮帮公社食品有限公司_x000a_"/>
        <s v="湖北致新权鼎科技有限公司_x000a_"/>
        <s v="家纺个体店"/>
        <s v="杨峰木材加工厂"/>
        <s v="湖北五三农场绿普旺食品有限公司_x000a_"/>
        <s v="盈环网络信息技术有限公司_x000a_"/>
        <s v="宇顺电子有限公司"/>
        <s v="泉州市三宏化纤有限公司"/>
        <s v="长江只会"/>
        <s v="货车公司"/>
        <s v="叉车"/>
        <s v="京山华贝化工有限责任公司_x000a_"/>
        <s v="湖北爱斯曼食品有限公司_x000a_"/>
        <s v="京山汽车配件（和承）有限公司"/>
        <s v="湖北品田包装有限公司_x000a_"/>
        <s v="湖北农谷环保科技有限公司_x000a__x000a__x000a_"/>
        <s v="中国航天工程部"/>
        <s v="石门水库变电站"/>
        <s v="河北神雕食品有限公司_x000a_"/>
        <s v="湖北省荆门市屈家岭中国联通_x000a_"/>
        <s v="进通电子有限公司"/>
        <s v="永隆纺织品有限公司"/>
        <s v="江苏华硕电脑有限公司_x000a_"/>
        <s v="黄石中粮军垦养猪场_x000a_"/>
        <s v="安能（屈家岭）生物质发电有限公司"/>
        <s v="浙江金华纸箱厂"/>
        <s v="湖北岑铭堂食品有限公司"/>
        <s v="温州民企"/>
        <s v="上海华生电动车制造有限公司_x000a_"/>
        <s v="湖北五三农场绿普旺食品有限公司"/>
        <s v="思方达交通工程（湖北）有限公司"/>
        <s v="京山汽车配件（和承）有限公司_x000a_"/>
        <s v="湖北双胞胎饲料有限公司_x000a_"/>
        <s v="普丽盛三环食品"/>
        <s v="湖北宝得瑞食品有限公司"/>
        <s v="荆门彩富机械责任有限公司_x000a_"/>
        <s v="咸宁金盛兰钢铁厂"/>
        <s v="湖北品田包装有限公司_x000a__x000a_"/>
        <s v="湖北聚汇农业开发有限公司_x000a_"/>
        <s v="宝盈商务宾馆"/>
        <s v="武汉福兴中通"/>
        <s v="耐特胶业"/>
        <s v="好敏味餐饮公司"/>
        <s v="上海依必安电动马达公司"/>
        <s v="五三农业银行"/>
        <s v="牛牛乳业有限责任公司_x000a_"/>
        <s v="湖北金龙福药业有限公司_x000a_"/>
        <s v="钟祥武住电装有限公司_x000a_"/>
        <s v="屈家岭徽商国际幼儿园"/>
        <s v="广东省深圳市宝安区龙华富士康_x000a_"/>
        <s v="湖北农谷环保科技有限公司_x000a_"/>
        <s v="熊猫精酿（安顺）酒业有限公司"/>
        <s v="湖北向荣塑业有限公司_x000a_"/>
        <s v="武汉全香园食品有限公司"/>
        <s v="襄阳鲁花浓香花生油有限公司"/>
        <s v="东莞汇雅家县厂"/>
        <s v="宫廷御膳房"/>
        <s v="自由创业"/>
        <s v="海南达川食品有限公司"/>
        <s v="湖北田野农谷生物科技有限公司"/>
        <s v="湖北京兰水泥集团有限公司"/>
      </sharedItems>
    </cacheField>
    <cacheField name="开始日期" numFmtId="0">
      <sharedItems containsBlank="1" containsNumber="1" containsMixedTypes="1" count="75">
        <n v="2010.11"/>
        <n v="2009.9"/>
        <n v="2013.8"/>
        <n v="2021.5"/>
        <n v="2011.3"/>
        <n v="2024.3"/>
        <m/>
        <n v="2009"/>
        <n v="2018.4"/>
        <n v="1986.1"/>
        <n v="2022.9"/>
        <n v="2013.4"/>
        <n v="2022"/>
        <n v="2015.4"/>
        <n v="2022.3"/>
        <n v="2019.3"/>
        <n v="2010.7"/>
        <n v="2016.8"/>
        <n v="2013"/>
        <n v="2011.7"/>
        <n v="2019.11"/>
        <n v="2018.12"/>
        <n v="2005"/>
        <n v="2020.3"/>
        <n v="2022.2"/>
        <n v="2015.3"/>
        <n v="2020.6"/>
        <s v="2020.10"/>
        <n v="2008.4"/>
        <n v="2007.2"/>
        <n v="2013.6"/>
        <n v="2017.12"/>
        <n v="2015"/>
        <n v="2014.11"/>
        <n v="2014.9"/>
        <n v="2020.8"/>
        <n v="1999"/>
        <n v="2018.3"/>
        <n v="2017.1"/>
        <n v="2013.7"/>
        <n v="2002.8"/>
        <n v="2014.3"/>
        <n v="2013.11"/>
        <n v="2016.4"/>
        <n v="2013.1"/>
        <n v="2008"/>
        <n v="2008.8"/>
        <n v="2018.8"/>
        <n v="2018.1"/>
        <n v="2013.2"/>
        <n v="2020.11"/>
        <n v="2018.9"/>
        <n v="2020.4"/>
        <n v="2021.2"/>
        <n v="2021.6"/>
        <n v="2021.3"/>
        <n v="2019.7"/>
        <n v="2017.3"/>
        <n v="2022.5"/>
        <n v="2016.3"/>
        <n v="2014.1"/>
        <n v="2021"/>
        <n v="2019"/>
        <n v="1994.8"/>
        <n v="2010.12"/>
        <n v="2019.4"/>
        <n v="2020.9"/>
        <n v="2005.1"/>
        <n v="2014.12"/>
        <n v="2018.5"/>
        <n v="2017.11"/>
        <n v="2018"/>
        <n v="2024"/>
        <n v="2001"/>
        <n v="2023.06"/>
      </sharedItems>
    </cacheField>
    <cacheField name="结束日期" numFmtId="0">
      <sharedItems containsString="0" containsBlank="1" containsNumber="1" minValue="0" maxValue="2024.7" count="59">
        <n v="2015.11"/>
        <n v="2018.12"/>
        <n v="2018.1"/>
        <n v="2022.5"/>
        <n v="2015.1"/>
        <n v="2024.7"/>
        <m/>
        <n v="2011"/>
        <n v="2018.9"/>
        <n v="2020.3"/>
        <n v="2023.2"/>
        <n v="2023.8"/>
        <n v="2024"/>
        <n v="2018.8"/>
        <n v="2023.11"/>
        <n v="2017.7"/>
        <n v="2018"/>
        <n v="2019.5"/>
        <n v="2020.4"/>
        <n v="2019.1"/>
        <n v="2021.6"/>
        <n v="2022"/>
        <n v="2022.11"/>
        <n v="2023.6"/>
        <n v="2023.4"/>
        <n v="2023.1"/>
        <n v="2024.1"/>
        <n v="2024.2"/>
        <n v="2014.1"/>
        <n v="2012.6"/>
        <n v="2020.12"/>
        <n v="2021.4"/>
        <n v="2021.5"/>
        <n v="2021.1"/>
        <n v="2022.7"/>
        <n v="2018.7"/>
        <n v="2019.8"/>
        <n v="2014.11"/>
        <n v="2017.1"/>
        <n v="2015.3"/>
        <n v="2018.5"/>
        <n v="2018.11"/>
        <n v="2019"/>
        <n v="2016.1"/>
        <n v="2020.11"/>
        <n v="2021.2"/>
        <n v="2021.7"/>
        <n v="2022.3"/>
        <n v="2022.6"/>
        <n v="2022.12"/>
        <n v="2022.1"/>
        <n v="2021.12"/>
        <n v="2020.9"/>
        <n v="2024.3"/>
        <n v="2020"/>
        <n v="2016.2"/>
        <n v="2019.7"/>
        <n v="2017"/>
        <n v="2024.08"/>
      </sharedItems>
    </cacheField>
    <cacheField name="工作岗位" numFmtId="0">
      <sharedItems containsBlank="1" count="59">
        <s v="司机"/>
        <s v="人事助理"/>
        <s v="保卫处干事"/>
        <s v="文员"/>
        <s v="保洁员"/>
        <m/>
        <s v="幼儿园教师"/>
        <s v="会计"/>
        <s v="客房服务员"/>
        <s v="办税服务厅"/>
        <s v="主管会计"/>
        <s v="操作工"/>
        <s v="化验员"/>
        <s v="客户经理"/>
        <s v="班主任"/>
        <s v="制冷工"/>
        <s v="厂长助理"/>
        <s v="仓管员"/>
        <s v="叉车司机"/>
        <s v="老板"/>
        <s v="物流/包装组长"/>
        <s v="在线顾问"/>
        <s v="IQC"/>
        <s v="叉车"/>
        <s v="皮带"/>
        <s v="机修班长"/>
        <s v="维修工"/>
        <s v="保安"/>
        <s v="电器/模具维修"/>
        <s v="锅炉工"/>
        <s v="机修"/>
        <s v="水电安装"/>
        <s v="电工"/>
        <s v="副主任"/>
        <s v="店长"/>
        <s v="ISO文控"/>
        <s v="普工"/>
        <s v="技术员"/>
        <s v="前处理带班"/>
        <s v="车间管理"/>
        <s v="快递员"/>
        <s v="滴滴跑车"/>
        <s v="配料员"/>
        <s v="包装"/>
        <s v="前台服务员"/>
        <s v="焊接工"/>
        <s v="主管"/>
        <s v="副总"/>
        <s v="生产部长"/>
        <s v="QA"/>
        <s v="保育员"/>
        <s v="品控员"/>
        <s v="质检员"/>
        <s v="质量经理"/>
        <s v="统计文员"/>
        <s v="无"/>
        <s v="加油站工作员"/>
        <s v="行政人事经理"/>
        <s v="人事专员"/>
      </sharedItems>
    </cacheField>
    <cacheField name="离职薪水" numFmtId="0">
      <sharedItems containsString="0" containsBlank="1" containsNonDate="0" count="1">
        <m/>
      </sharedItems>
    </cacheField>
    <cacheField name="证明人" numFmtId="0">
      <sharedItems containsBlank="1" count="24">
        <m/>
        <s v="宋老师"/>
        <s v="黄汉彪"/>
        <s v="方新明"/>
        <s v="孟汉珍"/>
        <s v="彭丽"/>
        <s v="邓"/>
        <s v="王安琪"/>
        <s v="刘晓旭"/>
        <s v="何兴菊"/>
        <s v="张晟平"/>
        <s v="周建"/>
        <s v="侯丽花"/>
        <s v="孙培刚"/>
        <s v="陈志珍"/>
        <s v="丁先生"/>
        <s v="蔡晶"/>
        <s v="朱钱"/>
        <s v="李家友"/>
        <s v="杨立涛"/>
        <s v="李莉"/>
        <s v="文龙"/>
        <s v="陈彪"/>
        <s v="王路"/>
      </sharedItems>
    </cacheField>
    <cacheField name="联系电话" numFmtId="0">
      <sharedItems containsString="0" containsBlank="1" containsNumber="1" containsInteger="1" minValue="0" maxValue="18972912831" count="27">
        <m/>
        <n v="18811362352"/>
        <n v="13797974099"/>
        <n v="18475684047"/>
        <n v="13593783456"/>
        <n v="13627153381"/>
        <n v="13972868922"/>
        <n v="18972912831"/>
        <n v="15271767136"/>
        <n v="18223742080"/>
        <n v="13317510186"/>
        <n v="13597999298"/>
        <n v="13986983852"/>
        <n v="15080993118"/>
        <n v="13277642192"/>
        <n v="15827875519"/>
        <n v="13545487037"/>
        <n v="15377555686"/>
        <n v="15671357135"/>
        <n v="15972667228"/>
        <n v="13849160533"/>
        <n v="15907265315"/>
        <n v="13972864767"/>
        <n v="15957609062"/>
        <n v="18672178500"/>
        <n v="15850650831"/>
        <n v="15271761843"/>
      </sharedItems>
    </cacheField>
    <cacheField name="学历" numFmtId="0">
      <sharedItems containsBlank="1" count="6">
        <s v="大专"/>
        <s v="中专"/>
        <s v="高中"/>
        <s v="初中"/>
        <s v="本科"/>
        <m/>
      </sharedItems>
    </cacheField>
    <cacheField name="毕业学校" numFmtId="0">
      <sharedItems containsBlank="1" count="58">
        <s v="武汉大学高等院校"/>
        <s v="武汉语言文化职业学院"/>
        <s v="黄石理工学院"/>
        <s v="武汉市第一技术学校"/>
        <s v="五三高中"/>
        <s v="屈家岭何集中学"/>
        <m/>
        <s v="湖北广播电视大学"/>
        <s v="浙江工业大学"/>
        <s v="湖北省税务学校"/>
        <s v="农垦学校"/>
        <s v="国家开放大学"/>
        <s v="中山火炬职业技术学院"/>
        <s v="湖南涉外经济学院"/>
        <s v="五三农场实验中学"/>
        <s v="荆州广播电视大学"/>
        <s v="荆州职业技术中等专业学校"/>
        <s v="杨峰中学"/>
        <s v="仙桃市成人教育中心"/>
        <s v="湖北生态工程职业技术学院"/>
        <s v="屈家岭初级中学"/>
        <s v="重庆商务职业学院"/>
        <s v="五三职高"/>
        <s v="长江职业学院"/>
        <s v="毛嘴高中"/>
        <s v="屈家岭蔡垱中学"/>
        <s v="京山三中"/>
        <s v="襄阳一中"/>
        <s v="湖北广播电视中等专业学校"/>
        <s v="屈原一中"/>
        <s v="钟祥供销学校"/>
        <s v="宜城四中"/>
        <s v="中央广播电视大学"/>
        <s v="永隆二中"/>
        <s v="荆州东方中等职业技校"/>
        <s v="畜牧分场中学"/>
        <s v="永隆中学"/>
        <s v="京山卫校"/>
        <s v="襄樊中学"/>
        <s v="雁门口中学"/>
        <s v="汨罗五中"/>
        <s v="荆州市物资职工中等专业学校"/>
        <s v="花园中学"/>
        <s v="宜昌市兴山县实验小学"/>
        <s v="滁州一中"/>
        <s v="中国药科大学"/>
        <s v="江西中医学院科技学院"/>
        <s v="永隆高中"/>
        <s v="湖北邮电技术学院"/>
        <s v="湖北省孝感市工业学校"/>
        <s v="湖北工学院"/>
        <s v="荆楚理工学院"/>
        <s v="湖北工业大学"/>
        <s v="海南大学"/>
        <s v="陕西理工大学"/>
        <s v="天门电大"/>
        <s v="北京信息科技大学"/>
        <s v="湖北大学"/>
      </sharedItems>
    </cacheField>
    <cacheField name="专业" numFmtId="0">
      <sharedItems containsBlank="1" containsNumber="1" containsMixedTypes="1" count="39">
        <s v="行政管理"/>
        <s v="电子商务"/>
        <s v="计算机网络技术"/>
        <s v="汽车维修"/>
        <m/>
        <s v="财务会计"/>
        <s v="会计"/>
        <s v="税收"/>
        <s v="审计"/>
        <s v="计算机"/>
        <s v="人力资源管理"/>
        <s v="市场营销"/>
        <s v="环境设计"/>
        <s v="经济管理"/>
        <s v="英语"/>
        <s v="旅游公关"/>
        <s v="室内设计技术"/>
        <s v="财务管理"/>
        <s v="广告平面"/>
        <s v="电子"/>
        <s v="机电"/>
        <s v="工商管理"/>
        <s v="厨师"/>
        <s v="医学"/>
        <s v="计算机应用"/>
        <n v="2013.9"/>
        <s v="药物分析"/>
        <s v="药学"/>
        <s v="财会"/>
        <s v="模具"/>
        <s v="食品检验"/>
        <s v="食品科学与工程"/>
        <s v="计算机信息管理"/>
        <s v="生物技术"/>
        <s v="电工"/>
        <s v="食品质量与安全"/>
        <s v="机械化工"/>
        <s v="计算机科学与技术"/>
        <s v="汉语言文学"/>
      </sharedItems>
    </cacheField>
    <cacheField name="开始日期2" numFmtId="0">
      <sharedItems containsBlank="1" containsNumber="1" containsMixedTypes="1" count="40">
        <m/>
        <n v="2005.9"/>
        <n v="2007.9"/>
        <n v="2008.9"/>
        <n v="1990.9"/>
        <n v="1980.9"/>
        <n v="1981"/>
        <n v="2010.4"/>
        <n v="1987.7"/>
        <n v="2011.2"/>
        <n v="1994.9"/>
        <n v="1988.9"/>
        <n v="2016.9"/>
        <n v="2020.3"/>
        <n v="1982.9"/>
        <n v="1997.9"/>
        <n v="2009.9"/>
        <n v="2000.9"/>
        <n v="1996.9"/>
        <n v="2018.9"/>
        <n v="1999.9"/>
        <n v="2001.9"/>
        <n v="2002.9"/>
        <n v="1989.9"/>
        <n v="1987.9"/>
        <n v="1992.9"/>
        <n v="1987.12"/>
        <n v="1998.9"/>
        <n v="2011.9"/>
        <n v="1986.9"/>
        <n v="1989.3"/>
        <n v="1993.9"/>
        <n v="2006.9"/>
        <n v="2015.7"/>
        <n v="1990.8"/>
        <n v="2004.9"/>
        <n v="2020.9"/>
        <n v="2013.7"/>
        <n v="2020.09"/>
        <s v="2019.03.01"/>
      </sharedItems>
    </cacheField>
    <cacheField name="结束日期2" numFmtId="0">
      <sharedItems containsBlank="1" containsNumber="1" containsMixedTypes="1" count="47">
        <n v="2021.6"/>
        <n v="2008.6"/>
        <n v="2010.6"/>
        <n v="2011.6"/>
        <n v="1993.7"/>
        <n v="1983.7"/>
        <m/>
        <n v="1992"/>
        <n v="2012.12"/>
        <n v="1990.7"/>
        <n v="2013.6"/>
        <n v="1998.6"/>
        <n v="2019.1"/>
        <n v="2024.2"/>
        <n v="1985.7"/>
        <n v="1997.7"/>
        <n v="1999.6"/>
        <n v="2012.6"/>
        <n v="2003.7"/>
        <n v="1999.7"/>
        <n v="2001.7"/>
        <n v="2004.6"/>
        <n v="2005.6"/>
        <n v="1992.6"/>
        <n v="1990.9"/>
        <n v="1995.7"/>
        <n v="1992.12"/>
        <n v="1997.6"/>
        <n v="2001.6"/>
        <n v="1993.6"/>
        <n v="2013.7"/>
        <n v="1989.7"/>
        <n v="1991.7"/>
        <n v="1992.9"/>
        <n v="1999.9"/>
        <n v="1992.7"/>
        <n v="1996.7"/>
        <n v="2009.6"/>
        <n v="2002.7"/>
        <n v="1994.7"/>
        <n v="2023.6"/>
        <n v="2007.6"/>
        <n v="1996.6"/>
        <n v="2024.6"/>
        <n v="2014.7"/>
        <n v="2024.06"/>
        <s v="2024.01.08"/>
      </sharedItems>
    </cacheField>
    <cacheField name="职称" numFmtId="0">
      <sharedItems containsBlank="1" count="5">
        <m/>
        <s v="中级会计"/>
        <s v="会计"/>
        <s v="高级"/>
        <s v="中级焊工"/>
      </sharedItems>
    </cacheField>
    <cacheField name="职业资格/水平证书" numFmtId="0">
      <sharedItems containsBlank="1" count="25">
        <s v="安全生产管理员"/>
        <m/>
        <s v="汽车修理工_x000a_电焊工"/>
        <s v="计算机系统操作工"/>
        <s v="中级"/>
        <s v="初级"/>
        <s v="计算机操作员"/>
        <s v="N1_x000a_2类压力容器操作"/>
        <s v="N1"/>
        <s v="英语英语能力A级_x000a_普通话水平二级甲等"/>
        <s v="N2"/>
        <s v="叉车高级工"/>
        <s v="叉车工"/>
        <s v="焊工四级_x000a_焊接与热切割"/>
        <s v="电焊工中级"/>
        <s v="低压电工作业_x000a_高级电工"/>
        <s v="高压电工"/>
        <s v="锅炉一级工"/>
        <s v="焊工四级/维修电工三级/特种设备安全管理A/压力容器作业R1"/>
        <s v="低压电工作业"/>
        <s v="食品检验工五级"/>
        <s v="质量专业技术人员中级"/>
        <s v="计算机应用"/>
        <s v="电工四级(中级工）"/>
        <s v="学士学位证书"/>
      </sharedItems>
    </cacheField>
    <cacheField name="培训记录" numFmtId="0">
      <sharedItems containsBlank="1" count="2">
        <m/>
        <s v="2023.11.16"/>
      </sharedItems>
    </cacheField>
    <cacheField name="婚姻_x000a_状况" numFmtId="0">
      <sharedItems containsBlank="1" count="4">
        <s v="已婚"/>
        <s v="未婚"/>
        <s v="离异"/>
        <m/>
      </sharedItems>
    </cacheField>
    <cacheField name="家庭住址" numFmtId="0">
      <sharedItems containsBlank="1" count="96">
        <s v="湖北省荆门市东宝区屈家岭管理区建设南路16座02号"/>
        <s v="湖北省荆门市屈家岭管理区屈家岭领秀天地16栋"/>
        <s v="湖北省荆门市屈家岭管理区八号小区A栋401"/>
        <s v="湖北省荆门市东宝区屈家岭管理区高湖分场王台队227_x000a_"/>
        <s v="湖北省荆门市东宝区屈家岭管理区君悦花园4栋302"/>
        <s v="湖北省荆门市东宝区屈家岭管理区何集分场路东区246"/>
        <s v="湖南省汩罗市罗江镇山秀村八组4号"/>
        <s v="湖北省荆门市东宝区屈家岭管理区五三农场何集分场西湖队044"/>
        <s v="湖北省荆门市屈家岭管理区供电所家属大院内"/>
        <s v="湖北省荆门市屈家岭管理区屈岭社区毛岭"/>
        <s v="湖北省荆门市东宝区屈家岭管理区建设南路"/>
        <s v="湖北省荆门市东宝区屈家岭管理区万佳华府"/>
        <s v="湖北荆门市屈家岭管理区水泥厂180号"/>
        <s v="湖北省京山县永隆镇下陈桥村五组22号"/>
        <s v="湖北省荆门市屈家岭管理区万佳华府"/>
        <s v="湖北省荆门市屈家岭管理区万佳华府18栋"/>
        <s v="湖北省荆门市东宝区屈家岭管理区屈家岭美其巷"/>
        <s v="湖北省荆门市东宝区屈家岭管理区桃源居"/>
        <s v="湖北省京山县永隆镇张常台村四组58号"/>
        <s v="湖北省京山县永隆镇高湖街村二组101号"/>
        <s v="湖北省荆门市东宝区屈家岭管理区岭秀天地"/>
        <s v="湖北省京山县雁门口镇常家山村五组"/>
        <s v="湖北省荆门市东宝区屈家岭管理区运通花园"/>
        <s v="湖北省荆门市屈家岭管理区君悦花园3栋401_x000a_"/>
        <s v="湖北省京山县永隆镇黎家垸村三组61号"/>
        <s v="湖北省荆门市东宝区屈家岭管理区樱桃苑18栋105号"/>
        <s v="湖北省荆门市东宝区屈家岭管理区政务服务中心家属楼一单元502"/>
        <s v="湖北省荆门市东宝区屈家岭管理区水泥厂53号"/>
        <s v="湖北省京山县永隆镇公益村五组052号"/>
        <s v="湖北省荆门市东宝区屈家岭管理区畜禽公司248号"/>
        <s v="湖北省荆门市东宝区屈家岭管理区锦绣天城"/>
        <s v="湖北省荆门市东宝区屈家岭管理区景怡花苑"/>
        <s v="湖北省荆门市东宝区屈家岭管理区制药厂"/>
        <s v="湖北省荆门市东宝区屈家岭管理区万佳华府二期"/>
        <s v="湖北省京山县永隆镇高湖街一组54号"/>
        <s v="湖北省京山市雁门口镇新生水泥厂"/>
        <s v="湖北省荆门市屈家岭管理区老电影院"/>
        <s v="湖北省荆门市东宝区屈家岭管理区金岭龙城"/>
        <s v="湖北省荆门市东宝区屈家岭管理区东方明珠11栋"/>
        <s v="湖南省汨罗市屈原管理区营田镇青山寺居委会金贸居民区"/>
        <s v="湖北省荆门市屈家岭管理区"/>
        <s v="湖北省宜城市小河镇余云村八组"/>
        <s v="湖北省荆门市东宝区屈家岭管理区五三豪庭"/>
        <s v="湖北省荆门市屈家岭管理区时代星辰"/>
        <s v="湖北省京山县永隆镇聂畈村六组68号"/>
        <s v="湖北省荆门市东宝区屈家岭管理区蔡垱分场回龙寺0025号098"/>
        <s v="湖北省荆门市屈家岭管理区畜牧分场梭灯队0019号038"/>
        <s v="湖北省荆门市东宝区屈家岭管理区美其巷"/>
        <s v="湖北省京山县永隆镇曾口村007号"/>
        <s v="湖北省安陆市东城经济开发区一中东路2号5栋2单元301室"/>
        <s v="湖北省荆门市东宝区屈家岭管理区步行街阳光大药房楼上"/>
        <s v="湖北省荆门市东宝区屈家岭管理区蓝天巷37座4号"/>
        <s v="湖北省荆门市东宝区屈家岭管理区畜牧分场三合队290号 "/>
        <s v="湖北省京山县永隆镇聂畈村六组67号"/>
        <s v="湖北省荆门市东宝区屈家岭管理区回龙寺"/>
        <s v="湖北省荆门市东宝区屈家岭管理区徽商国际城"/>
        <s v="湖北省荆门市东宝区屈家岭管理区时代星辰"/>
        <s v="湖北省京山县雁门口镇长岗村二组11号"/>
        <s v="湖北省京山县永隆镇黎家大岭村五组59号"/>
        <s v="湖南省岳阳市汨罗市长乐镇"/>
        <s v="湖北省荆门市东宝区屈家岭管理区万佳华府一期"/>
        <s v="湖北省荆门市东宝屈家岭管理区司法局"/>
        <s v="湖北省京山市永隆镇新河扣村三组52号"/>
        <s v="湖北省京山县雁门口镇常家山村六组37号"/>
        <s v="湖北省京山县永隆镇高湖街二组35号"/>
        <s v="湖北省荆门市屈家岭管理区卧龙山庄"/>
        <s v="屈家岭管理区畜牧分场赵坡队二组073"/>
        <s v="湖北省荆门市东宝区屈家岭管理区屈岭路11号"/>
        <s v="湖北省荆门市屈家岭管理区回龙寺社区二十四层1903号"/>
        <s v="安徽省滁州市南谯区黄泥岗镇街道村雷西组56号"/>
        <s v="湖北省荆门市东宝区屈家岭管理区制药厂86"/>
        <s v="湖北省荆门市东宝区屈家岭管理区工商银行楼"/>
        <s v="湖北省荆门市东宝区屈家岭管理区何集办事处王台队王台组8号"/>
        <s v="湖北省荆门市东宝区屈家岭管理区运输队"/>
        <s v="湖北省荆门市东宝区屈家岭管理区建设路21座30号"/>
        <s v="湖北省荆门市东宝区屈家岭管理区园艺分场综合厂0016号107"/>
        <s v="湖北省荆门市金龙泉大道北辰花苑"/>
        <s v="湖北省应城市城中街道"/>
        <s v="湖北省荆门市屈家岭管理区回龙寺"/>
        <s v="湖北省武汉市东西湖区吴家山街道九坤五环华城"/>
        <s v="湖北省荆门市东宝区天鹅山庄38栋"/>
        <s v="湖北荆门市屈家岭管理区赵坡社区"/>
        <s v="湖北省随县三里岗镇饶山街9号"/>
        <s v="湖北省钟祥市客店镇官弯村四组"/>
        <s v="湖北省荆门市屈家岭管理区创业路157座"/>
        <s v="湖北省荆门市东宝区屈家岭管理区创业路50号"/>
        <s v="湖北省京山市石龙镇石龙水库管理处10号"/>
        <s v="安徽省砀山县良梨镇单庄自然村008"/>
        <s v="湖北京山市永隆镇"/>
        <s v="湖北省荆门市东宝区屈家岭管理区何集办事处熊桥队寇台组19号"/>
        <s v="海南省海口市龙华区大园社区"/>
        <s v="湖北省京山县永隆镇聂畈村六组56号"/>
        <s v="湖北省荆门市东宝区屈家岭管理区蔡垱分场回龙寺0025号159"/>
        <s v="湖北省荆门市京山市钱场镇钱场村"/>
        <s v="湖北省荆门市东宝区屈家岭管理区太子广场"/>
        <m/>
      </sharedItems>
    </cacheField>
    <cacheField name="家庭关系/称呼" numFmtId="0">
      <sharedItems containsBlank="1" count="12">
        <s v="父亲"/>
        <s v="丈夫"/>
        <s v="妻子"/>
        <s v="儿子"/>
        <s v="女儿"/>
        <s v="父女"/>
        <s v="爷爷"/>
        <s v="父子"/>
        <m/>
        <s v="母亲"/>
        <s v="张阳"/>
        <s v="夫妻"/>
      </sharedItems>
    </cacheField>
    <cacheField name="姓名2" numFmtId="0">
      <sharedItems containsBlank="1" count="100">
        <s v="张耀前"/>
        <s v="邹云峰"/>
        <s v="赵中林"/>
        <s v="段瑞"/>
        <s v="张功华"/>
        <s v="王风雷"/>
        <s v="吴秋军"/>
        <s v="牛志远"/>
        <s v="张明"/>
        <s v="黎红彪"/>
        <s v="高其各"/>
        <s v="杨之卉"/>
        <s v="程新如"/>
        <s v="王凯"/>
        <s v="张力"/>
        <s v="庞志强"/>
        <s v="何么生"/>
        <s v="张久红"/>
        <s v="赵春红"/>
        <s v="丁明山"/>
        <s v="刘桂清"/>
        <s v="刘海涛"/>
        <s v="杨唱奇"/>
        <s v="罗亚玲"/>
        <s v="尹慧敏"/>
        <s v="刘辉"/>
        <s v="程平"/>
        <s v="林登清"/>
        <s v="王小华"/>
        <s v="胡慧玲"/>
        <s v="何培军"/>
        <s v="梁金华"/>
        <s v="周芷若"/>
        <s v="柴丽"/>
        <s v="贾丽"/>
        <s v="黎欢喜"/>
        <s v="蔡玲玲"/>
        <s v="钱文玲"/>
        <s v="朱洪丽"/>
        <s v="安金莲"/>
        <s v="罗烈山"/>
        <s v="李一耕"/>
        <m/>
        <s v="叶阳金"/>
        <s v="吴雪梅"/>
        <s v="吴志军"/>
        <s v="范同功"/>
        <s v="张翠红"/>
        <s v="龚永光"/>
        <s v="李发银"/>
        <s v="黄贵荣"/>
        <s v="康林阁"/>
        <s v="郜森委"/>
        <s v="孙琼"/>
        <s v="曾利华"/>
        <s v="王春雷"/>
        <s v="李小瑞"/>
        <s v="赵伟"/>
        <s v="葛素红"/>
        <s v="邓龙春"/>
        <s v="黎敬元"/>
        <s v="胡荣"/>
        <s v="张红"/>
        <s v="尚爱香"/>
        <s v="谢光辉"/>
        <s v="曹燕"/>
        <s v="尹立庆"/>
        <s v="王雪柔"/>
        <s v="范元香"/>
        <s v="赵栋武"/>
        <s v="徐清友"/>
        <s v="杨文涛"/>
        <s v="段红雨"/>
        <s v="孙志山"/>
        <s v="杜平"/>
        <s v="邓钊"/>
        <s v="王俊"/>
        <s v="蔡伟"/>
        <s v="李芳"/>
        <s v="文龙"/>
        <s v="黎振"/>
        <s v="刘子英"/>
        <s v="程小东"/>
        <s v="张天宇"/>
        <s v="胡自平"/>
        <s v="黄金枝"/>
        <s v="张明菊"/>
        <s v="刘军"/>
        <s v="彭中莲"/>
        <s v="袁中青"/>
        <s v="潘磊"/>
        <s v="伍亭杨"/>
        <s v="单其稳"/>
        <s v="李浩"/>
        <s v="丈夫"/>
        <s v="李述富"/>
        <s v="聂军涛"/>
        <s v="魏永霞"/>
        <s v="钱新安"/>
        <s v="彭小兰"/>
      </sharedItems>
    </cacheField>
    <cacheField name="性别2" numFmtId="0">
      <sharedItems containsBlank="1" count="3">
        <s v="男"/>
        <s v="女"/>
        <m/>
      </sharedItems>
    </cacheField>
    <cacheField name="年龄2" numFmtId="0">
      <sharedItems containsString="0" containsBlank="1" containsNumber="1" containsInteger="1" minValue="0" maxValue="83" count="39">
        <n v="73"/>
        <n v="39"/>
        <n v="54"/>
        <n v="28"/>
        <n v="50"/>
        <n v="61"/>
        <n v="56"/>
        <n v="20"/>
        <n v="45"/>
        <n v="66"/>
        <n v="19"/>
        <n v="83"/>
        <n v="40"/>
        <n v="60"/>
        <n v="71"/>
        <n v="48"/>
        <n v="53"/>
        <n v="42"/>
        <n v="34"/>
        <n v="52"/>
        <n v="35"/>
        <n v="43"/>
        <n v="55"/>
        <n v="32"/>
        <n v="67"/>
        <n v="62"/>
        <m/>
        <n v="57"/>
        <n v="41"/>
        <n v="44"/>
        <n v="51"/>
        <n v="49"/>
        <n v="47"/>
        <n v="46"/>
        <n v="31"/>
        <n v="38"/>
        <n v="29"/>
        <n v="78"/>
        <n v="25"/>
      </sharedItems>
    </cacheField>
    <cacheField name="职业" numFmtId="0">
      <sharedItems containsBlank="1" count="17">
        <s v="离退休人员"/>
        <s v="工人"/>
        <s v="教师"/>
        <s v="管理人员"/>
        <m/>
        <s v="单位职工"/>
        <s v="学生"/>
        <s v="自由职业"/>
        <s v="农民"/>
        <s v="设计师"/>
        <s v="个体商人"/>
        <s v="退休"/>
        <s v="检验检测机构从业人员"/>
        <s v="养殖"/>
        <s v="务农"/>
        <s v="个体工商户"/>
        <s v="熊桥"/>
      </sharedItems>
    </cacheField>
    <cacheField name="紧急联系人" numFmtId="0">
      <sharedItems containsBlank="1" count="101">
        <s v="喻艳"/>
        <s v="邹云峰"/>
        <s v="郭书敏"/>
        <s v="段瑞"/>
        <s v="张功华"/>
        <s v="王舜"/>
        <s v="吴秋军"/>
        <s v="牛志远"/>
        <s v="张明"/>
        <s v="黎红彪"/>
        <s v="张红波"/>
        <s v="杨波"/>
        <s v="程贤"/>
        <s v="王凯"/>
        <s v="张力"/>
        <s v="庞志强"/>
        <s v="何么生"/>
        <s v="余小荣"/>
        <s v="王卫平"/>
        <s v="丁明山"/>
        <s v="刘桂清"/>
        <s v="刘海涛"/>
        <s v="周元珍"/>
        <s v="罗亚玲"/>
        <s v="尹慧敏"/>
        <s v="黎炎顺"/>
        <s v="程平"/>
        <s v="林登清"/>
        <s v="王小华"/>
        <s v="胡琪"/>
        <s v="管静"/>
        <s v="李娜"/>
        <s v="周芷若"/>
        <s v="柴丽"/>
        <s v="曹凤兰"/>
        <s v="黎欢喜"/>
        <s v="蔡玲玲"/>
        <s v="钱文玲"/>
        <s v="朱洪丽"/>
        <s v="安金莲"/>
        <s v="罗毅龙"/>
        <s v="李瑞"/>
        <s v="张万菊"/>
        <s v="叶阳金"/>
        <s v="吴雪梅"/>
        <s v="吴志军"/>
        <s v="范同功"/>
        <s v="张翠红"/>
        <s v="龚永光"/>
        <s v="李发银"/>
        <s v="黄贵荣"/>
        <s v="康林阁"/>
        <s v="刘四平"/>
        <s v="孙琼"/>
        <s v="聂成龙"/>
        <s v="王春雷"/>
        <s v="李小瑞"/>
        <s v="刘玉娥"/>
        <s v="马宇翔"/>
        <s v="邓龙春"/>
        <s v="黎敬元"/>
        <s v="胡荣"/>
        <s v="张红"/>
        <s v="尚爱香"/>
        <s v="谢晓霞"/>
        <s v="曹刚"/>
        <s v="陈兴贵"/>
        <s v="聂先梅"/>
        <s v="范元香"/>
        <s v="赵栋武"/>
        <s v="黎琼丽"/>
        <s v="杨文涛"/>
        <s v="段红雨"/>
        <s v="孙志山"/>
        <s v="杜平"/>
        <s v="邓明福"/>
        <s v="王俊"/>
        <s v="刘桂萍"/>
        <s v="李保健"/>
        <s v="文龙"/>
        <s v="黎振"/>
        <s v="刘子英"/>
        <s v="卢尚"/>
        <s v="张天宇"/>
        <s v="胡自平"/>
        <s v="万云峰"/>
        <s v="张明菊"/>
        <s v="刘军"/>
        <s v="彭中莲"/>
        <s v="李娟"/>
        <s v="潘磊"/>
        <s v="伍亭杨"/>
        <s v="单其稳"/>
        <s v="李浩"/>
        <s v="张阳"/>
        <s v="李述富"/>
        <s v="聂军涛"/>
        <s v="魏永霞"/>
        <s v="钱新安"/>
        <s v="彭小兰"/>
        <m/>
      </sharedItems>
    </cacheField>
    <cacheField name="与本人关系" numFmtId="0">
      <sharedItems containsBlank="1" count="19">
        <s v="夫妻"/>
        <s v="母子"/>
        <s v="儿子"/>
        <s v="姐妹"/>
        <s v="父子"/>
        <s v="爷孙"/>
        <s v="姐弟"/>
        <s v="兄长"/>
        <s v="婆媳"/>
        <s v="父女"/>
        <s v="叔侄"/>
        <s v="兄弟"/>
        <s v="母女"/>
        <s v="兄妹"/>
        <s v="父亲"/>
        <s v="妻子"/>
        <s v="子女"/>
        <s v="丈夫"/>
        <m/>
      </sharedItems>
    </cacheField>
    <cacheField name="电话号码" numFmtId="0">
      <sharedItems containsBlank="1" containsNumber="1" containsInteger="1" containsMixedTypes="1" count="101">
        <n v="13477371019"/>
        <n v="13997919620"/>
        <n v="15871985710"/>
        <n v="13257231992"/>
        <n v="15971969791"/>
        <n v="15625264779"/>
        <n v="15197034471"/>
        <n v="13867969713"/>
        <n v="13197133302"/>
        <n v="13593783456"/>
        <n v="18872431259"/>
        <n v="17371619333"/>
        <n v="15827823908"/>
        <n v="15271786370"/>
        <n v="18520131465"/>
        <n v="13469771656"/>
        <n v="15972619098"/>
        <n v="13986982629"/>
        <n v="13477379642"/>
        <n v="13294289386"/>
        <n v="15334022819"/>
        <n v="13317527231"/>
        <n v="17762528191"/>
        <n v="18371141893"/>
        <n v="13451209997"/>
        <n v="13774020732"/>
        <n v="13925546189"/>
        <n v="18779615686"/>
        <n v="18086288236"/>
        <n v="13437737687"/>
        <n v="15071980074"/>
        <n v="13627155205"/>
        <n v="15872961220"/>
        <n v="13593780386"/>
        <n v="15972618782"/>
        <n v="15572601628"/>
        <n v="13872920980"/>
        <n v="15629741588"/>
        <n v="15872953560"/>
        <n v="15871985387"/>
        <n v="13100202101"/>
        <n v="13597986175"/>
        <n v="15875231229"/>
        <n v="18927299052"/>
        <n v="13477385923"/>
        <n v="15671863930"/>
        <n v="13409617704"/>
        <n v="13581340950"/>
        <n v="13597952608"/>
        <n v="13098421820"/>
        <n v="15335761906"/>
        <n v="15327490516"/>
        <s v="15827853910"/>
        <n v="15926681547"/>
        <n v="15926694063"/>
        <n v="13117066573"/>
        <n v="13774052042"/>
        <n v="13971840524"/>
        <n v="16602738464"/>
        <n v="13482837998"/>
        <n v="15572607190"/>
        <n v="19958033488"/>
        <n v="13367231485"/>
        <n v="13774008194"/>
        <n v="15221989021"/>
        <n v="13610252868"/>
        <n v="18972869002"/>
        <n v="15827580234"/>
        <n v="13597950537"/>
        <n v="15908663207"/>
        <n v="18872429837"/>
        <n v="13797899575"/>
        <n v="13972884949"/>
        <n v="18255038858"/>
        <n v="13117067075"/>
        <n v="13627157368"/>
        <n v="13618953191"/>
        <n v="13451198876"/>
        <n v="13477375639"/>
        <n v="18672178500"/>
        <n v="18772737520"/>
        <n v="13797972759"/>
        <n v="15342509552"/>
        <n v="13797905493"/>
        <n v="13828879053"/>
        <n v="13908698125"/>
        <n v="15572667262"/>
        <n v="15826759959"/>
        <n v="15872961939"/>
        <n v="13556735653"/>
        <n v="13986972365"/>
        <n v="15071911225"/>
        <n v="13774029700"/>
        <n v="13477559897"/>
        <n v="17707242516"/>
        <n v="18889692758"/>
        <n v="15800085843"/>
        <n v="13886930053"/>
        <n v="13971848322"/>
        <n v="15818739378"/>
        <m/>
      </sharedItems>
    </cacheField>
    <cacheField name="劳动/劳务合同期限" numFmtId="0">
      <sharedItems containsBlank="1" count="57">
        <s v="2022/11/1-2025/10/31"/>
        <s v="2022/6/1-2025/5/31"/>
        <s v="2024/8/1-2025/7/31"/>
        <s v="2024/7/10-2025/7/9"/>
        <s v="2025/2/20-2026/2/19"/>
        <s v="2025/1/1-2025/12/31"/>
        <s v="2024/7/1-2025/6/30"/>
        <s v="2024/5/15-2025/5/14"/>
        <s v="2024/12/11-2025/12/10"/>
        <s v="2024/6/18-2025/6/17"/>
        <s v="2023/5/1-2026/4/30"/>
        <s v="2024/7/20-2025/7/19"/>
        <s v="2023/4/1-2026/3/31"/>
        <s v="2024/7/2-2025/7/1"/>
        <s v="2022/7/1-2025/6/30"/>
        <s v="2022/9/1-2025/8/31"/>
        <s v="2023/11/1-2026/10/31"/>
        <s v="2024/6/2-2025/6/1"/>
        <s v="2024/10/1-2025/9/30"/>
        <s v="2024/11/1-2025/10/31"/>
        <s v="2024/5/1-2025/4/30"/>
        <s v="2024/9/1-2025/8/31"/>
        <s v="2024/6/5-2025/6/4"/>
        <s v="2024/3/9-2025/3/8"/>
        <s v="2024/5/14-2025/5/13"/>
        <s v="2025/2/1-2026/1/31"/>
        <s v="2024/12/1-2025/11/30"/>
        <s v="2022/10/1-2025/9/30"/>
        <s v="2024/10/6-2025/10/5"/>
        <s v="2023/10/1-2026/9/30"/>
        <s v="2023/12/1-2026/11/30"/>
        <s v="2025/2/24-2026/2/23"/>
        <s v="2025/3/1-2026/2/28"/>
        <s v="2024/3/11-2025/3/10"/>
        <s v="2024/4/13-2025/4/12"/>
        <s v="2024/5/10-2025/5/9"/>
        <s v="2024/6/1-2025/5/31"/>
        <s v="2024/3/18-2025/3/17"/>
        <s v="2024/9/9-2025/9/8"/>
        <s v="2024/5/28-2025/5/27"/>
        <s v="2024/11/11-2025/11/10"/>
        <s v="2024/7/5-2027/7/4"/>
        <s v="2024/10/22-2025/10/21"/>
        <s v="2025/1/3-2026/1/2"/>
        <s v="2024/10/15-2025/10/14"/>
        <s v="2025/3/11-2026/3/10"/>
        <s v="2025/2/17-2026/2/16"/>
        <s v="2025/3/20-2026/3/19"/>
        <s v="2025/3/25-2026/3/24"/>
        <s v="2025/3/1-2026/2/29"/>
        <s v="2025/3/18-2026/3/17"/>
        <s v="2025/04/01-2026/03/31"/>
        <s v="2023/7/1-2026/6/30"/>
        <s v="2025/4/12-2026/4/11"/>
        <s v="2025/4/14-2026/4/13"/>
        <s v="2025/5/6-2026/5/5"/>
        <m/>
      </sharedItems>
    </cacheField>
    <cacheField name="劳动合同次数" numFmtId="0">
      <sharedItems containsString="0" containsBlank="1" containsNumber="1" containsInteger="1" minValue="0" maxValue="6" count="8">
        <n v="5"/>
        <n v="4"/>
        <n v="2"/>
        <n v="0"/>
        <m/>
        <n v="1"/>
        <n v="6"/>
        <n v="3"/>
      </sharedItems>
    </cacheField>
    <cacheField name="开始时间" numFmtId="0">
      <sharedItems containsString="0" containsBlank="1" containsNonDate="0" containsDate="1" minDate="2015-11-01T00:00:00" maxDate="2025-05-06T00:00:00" count="74">
        <d v="2016-02-15T00:00:00"/>
        <d v="2019-06-01T00:00:00"/>
        <d v="2022-08-01T00:00:00"/>
        <d v="2015-11-01T00:00:00"/>
        <d v="2024-08-01T00:00:00"/>
        <d v="2019-07-10T00:00:00"/>
        <d v="2025-02-20T00:00:00"/>
        <d v="2019-01-01T00:00:00"/>
        <d v="2020-07-01T00:00:00"/>
        <d v="2023-05-15T00:00:00"/>
        <d v="2023-09-11T00:00:00"/>
        <d v="2024-06-18T00:00:00"/>
        <d v="2019-06-10T00:00:00"/>
        <d v="2022-07-20T00:00:00"/>
        <d v="2024-10-04T00:00:00"/>
        <d v="2024-10-07T00:00:00"/>
        <d v="2018-07-01T00:00:00"/>
        <d v="2019-06-24T00:00:00"/>
        <d v="2019-09-02T00:00:00"/>
        <d v="2021-04-01T00:00:00"/>
        <d v="2020-01-01T00:00:00"/>
        <d v="2021-06-02T00:00:00"/>
        <d v="2023-01-01T00:00:00"/>
        <d v="2023-06-25T00:00:00"/>
        <d v="2023-07-01T00:00:00"/>
        <d v="2023-08-07T00:00:00"/>
        <d v="2024-05-01T00:00:00"/>
        <d v="2024-09-01T00:00:00"/>
        <d v="2016-04-10T00:00:00"/>
        <d v="2018-06-04T00:00:00"/>
        <d v="2021-05-01T00:00:00"/>
        <d v="2021-05-14T00:00:00"/>
        <d v="2022-01-01T00:00:00"/>
        <d v="2022-02-01T00:00:00"/>
        <d v="2022-12-01T00:00:00"/>
        <d v="2023-11-06T00:00:00"/>
        <d v="2019-11-15T00:00:00"/>
        <d v="2018-08-20T00:00:00"/>
        <d v="2018-10-05T00:00:00"/>
        <d v="2019-08-05T00:00:00"/>
        <d v="2019-08-12T00:00:00"/>
        <d v="2020-09-19T00:00:00"/>
        <d v="2021-03-01T00:00:00"/>
        <d v="2021-06-01T00:00:00"/>
        <d v="2021-04-13T00:00:00"/>
        <d v="2021-05-10T00:00:00"/>
        <d v="2021-11-01T00:00:00"/>
        <d v="2022-09-01T00:00:00"/>
        <d v="2023-06-01T00:00:00"/>
        <d v="2023-09-06T00:00:00"/>
        <d v="2023-10-05T00:00:00"/>
        <d v="2024-03-18T00:00:00"/>
        <d v="2024-09-09T00:00:00"/>
        <d v="2018-08-27T00:00:00"/>
        <d v="2016-05-23T00:00:00"/>
        <d v="2020-12-01T00:00:00"/>
        <d v="2021-07-02T00:00:00"/>
        <d v="2021-11-11T00:00:00"/>
        <d v="2024-07-05T00:00:00"/>
        <d v="2024-07-22T00:00:00"/>
        <d v="2025-01-03T00:00:00"/>
        <d v="2024-10-15T00:00:00"/>
        <d v="2024-12-01T00:00:00"/>
        <d v="2025-03-11T00:00:00"/>
        <d v="2025-02-17T00:00:00"/>
        <d v="2025-03-20T00:00:00"/>
        <d v="2025-03-25T00:00:00"/>
        <d v="2025-03-01T00:00:00"/>
        <d v="2025-03-18T00:00:00"/>
        <d v="2025-04-01T00:00:00"/>
        <d v="2025-04-12T00:00:00"/>
        <d v="2025-04-14T00:00:00"/>
        <d v="2025-05-06T00:00:00"/>
        <m/>
      </sharedItems>
    </cacheField>
    <cacheField name="结束时间" numFmtId="0">
      <sharedItems containsBlank="1" containsDate="1" containsMixedTypes="1" count="55">
        <d v="2025-10-31T00:00:00"/>
        <d v="2025-05-31T00:00:00"/>
        <d v="2025-07-31T00:00:00"/>
        <d v="2027-07-31T00:00:00"/>
        <d v="2025-07-09T00:00:00"/>
        <d v="2026-02-19T00:00:00"/>
        <d v="2025-12-31T00:00:00"/>
        <d v="2025-06-30T00:00:00"/>
        <d v="2025-05-14T00:00:00"/>
        <d v="2025-12-10T00:00:00"/>
        <d v="2025-06-17T00:00:00"/>
        <d v="2026-04-30T00:00:00"/>
        <d v="2025-07-19T00:00:00"/>
        <d v="2025-01-06T00:00:00"/>
        <d v="2026-03-31T00:00:00"/>
        <d v="2025-07-01T00:00:00"/>
        <d v="2025-08-31T00:00:00"/>
        <d v="2026-10-31T00:00:00"/>
        <d v="2025-06-01T00:00:00"/>
        <d v="2025-09-30T00:00:00"/>
        <d v="2025-04-30T00:00:00"/>
        <d v="2025-06-04T00:00:00"/>
        <d v="2025-03-08T00:00:00"/>
        <d v="2025-05-13T00:00:00"/>
        <d v="2026-01-31T00:00:00"/>
        <d v="2025-11-30T00:00:00"/>
        <d v="2025-05-30T00:00:00"/>
        <d v="2025-10-05T00:00:00"/>
        <d v="2026-09-30T00:00:00"/>
        <d v="2026-11-30T00:00:00"/>
        <d v="2026-02-23T00:00:00"/>
        <d v="2026-02-28T00:00:00"/>
        <d v="2025-03-10T00:00:00"/>
        <d v="2025-04-12T00:00:00"/>
        <d v="2025-05-09T00:00:00"/>
        <d v="2025-03-17T00:00:00"/>
        <d v="2025-09-08T00:00:00"/>
        <d v="2025-05-27T00:00:00"/>
        <d v="2025-11-10T00:00:00"/>
        <d v="2027-10-04T00:00:00"/>
        <d v="2025-10-21T00:00:00"/>
        <d v="2026-01-02T00:00:00"/>
        <d v="2025-10-14T00:00:00"/>
        <d v="2026-03-10T00:00:00"/>
        <d v="2026-02-16T00:00:00"/>
        <d v="2026-03-19T00:00:00"/>
        <d v="2026-03-24T00:00:00"/>
        <s v="2026/2/29"/>
        <d v="2026-03-17T00:00:00"/>
        <d v="2025-03-31T00:00:00"/>
        <d v="2026-06-30T00:00:00"/>
        <d v="2026-04-11T00:00:00"/>
        <d v="2026-04-13T00:00:00"/>
        <d v="2026-05-05T00:00:00"/>
        <m/>
      </sharedItems>
    </cacheField>
    <cacheField name="招聘渠道" numFmtId="0">
      <sharedItems containsBlank="1" count="10">
        <s v="自己应聘"/>
        <s v="留守人员"/>
        <s v="熟人介绍"/>
        <s v="介绍"/>
        <s v="公司转岗"/>
        <s v="员工推荐"/>
        <s v="胡骏涛介绍"/>
        <s v="校招"/>
        <s v="内部推荐"/>
        <m/>
      </sharedItems>
    </cacheField>
    <cacheField name="介绍人" numFmtId="0">
      <sharedItems containsBlank="1" count="10">
        <m/>
        <s v="喻艳"/>
        <s v="何么生"/>
        <s v="庞丽红"/>
        <s v="谷鹏"/>
        <s v="丁超美"/>
        <s v="李能"/>
        <s v="尚爱香"/>
        <s v="毛四雄"/>
        <s v="马春霞"/>
      </sharedItems>
    </cacheField>
    <cacheField name="离职类别" numFmtId="0">
      <sharedItems containsString="0" containsBlank="1" containsNonDate="0" count="1">
        <m/>
      </sharedItems>
    </cacheField>
    <cacheField name="离职日期" numFmtId="0">
      <sharedItems containsString="0" containsBlank="1" containsNonDate="0" containsDate="1" minDate="2024-04-30T00:00:00" maxDate="2025-01-31T00:00:00" count="3">
        <m/>
        <d v="2024-04-30T00:00:00"/>
        <d v="2025-01-31T00:00:00"/>
      </sharedItems>
    </cacheField>
    <cacheField name="离职原因（类别）" numFmtId="0">
      <sharedItems containsBlank="1" count="3">
        <m/>
        <s v="个人原因"/>
        <s v="身体原因"/>
      </sharedItems>
    </cacheField>
    <cacheField name="QQ号码" numFmtId="0">
      <sharedItems containsString="0" containsBlank="1" containsNumber="1" containsInteger="1" minValue="0" maxValue="474631118" count="2">
        <m/>
        <n v="474631118"/>
      </sharedItems>
    </cacheField>
    <cacheField name="微信号" numFmtId="0">
      <sharedItems containsBlank="1" containsNumber="1" containsInteger="1" containsMixedTypes="1" count="71">
        <s v="wxid_2976359763712"/>
        <s v="kksunshine8899"/>
        <s v="HBTYNG"/>
        <s v="virulence"/>
        <s v="alianzou1975"/>
        <m/>
        <s v="niuzhiyuan1742119169"/>
        <s v="wxid_6d04g86w6ssu22"/>
        <s v="w13797928108"/>
        <s v="gao15272091137"/>
        <s v="Wangchenli20140907"/>
        <s v="yan13611430813"/>
        <s v="wxid_8qszvqy787hs22"/>
        <s v="wxid_saoh10g4m5ek22"/>
        <s v="wxid_7vdciaxqsdlm22"/>
        <s v="wxid_92di93wlt2si22"/>
        <s v="wxid_nqv250b60m6z22"/>
        <s v="fei120693449"/>
        <s v="Qu848611"/>
        <s v="l2573258"/>
        <s v="zg720702"/>
        <s v="Wei38502"/>
        <s v="wxid_bcpf00lmj2vj22"/>
        <s v="wxid_cm2tcxv3wagz22"/>
        <s v="a131777770"/>
        <s v="wgb642211"/>
        <s v="h15871987067"/>
        <s v="sake960117"/>
        <s v="wxid_4s0qsor8tkwi21"/>
        <s v="wxid_kl9xoho86vms21"/>
        <s v="wxid_2huwhuk5iokg22"/>
        <s v="wxid_0123621237312"/>
        <s v="mengjianli13457890"/>
        <s v="wxid_qulf7nm1k6wv22"/>
        <s v="car15872915345"/>
        <s v="wxid_2msve2efwub212"/>
        <s v="kj19760827"/>
        <s v="wxid_44azy67clnml22"/>
        <s v="zy15271795054"/>
        <s v="nyj731221"/>
        <s v="y19533567024"/>
        <s v="wxid_y7418qr1ui5j22"/>
        <s v="wxid_hpw3byfgf72922"/>
        <s v="wxid_3o7tkvbilyxe22"/>
        <s v="xie15220238192"/>
        <s v="a2047038959"/>
        <s v="WQF19761015"/>
        <s v="ZJP15908642506"/>
        <s v="SY202205"/>
        <s v="wxid_jvmdxo5nlian22"/>
        <s v="wxid_wpk3a90m0xw822"/>
        <s v="wxid_rv1xf4clkmqp21"/>
        <s v="LXP15527238623"/>
        <s v="wangjin13477570879"/>
        <s v="huihui15872908802"/>
        <s v="ZF_253156880"/>
        <s v="minyanbiao"/>
        <s v="qiqibushibingqiling"/>
        <s v="s13451168027"/>
        <s v="lyly50201314"/>
        <s v="whj2519235203"/>
        <s v="a159726250"/>
        <s v="sxlgdx617"/>
        <s v="q15o6283859"/>
        <n v="13177173368"/>
        <s v="shan689shan689"/>
        <s v="wxid_fk64bvti6kyu22"/>
        <s v="q13677231138"/>
        <n v="17389819211"/>
        <s v="nieziying2007"/>
        <s v="w13431366893"/>
      </sharedItems>
    </cacheField>
    <cacheField name="修改人" numFmtId="0">
      <sharedItems containsString="0" containsBlank="1" containsNonDate="0" count="1">
        <m/>
      </sharedItems>
    </cacheField>
    <cacheField name="最后修改时间" numFmtId="0">
      <sharedItems containsBlank="1" containsDate="1" containsMixedTypes="1" count="6">
        <m/>
        <s v="2022年10月"/>
        <d v="2022-09-01T00:00:00"/>
        <d v="2021-06-01T00:00:00"/>
        <d v="2022-05-01T00:00:00"/>
        <d v="2021-11-01T00:00:00"/>
      </sharedItems>
    </cacheField>
    <cacheField name="修改记录" numFmtId="0">
      <sharedItems containsBlank="1" count="2">
        <m/>
        <s v="换银行卡"/>
      </sharedItems>
    </cacheField>
    <cacheField name="银行卡号" numFmtId="0">
      <sharedItems containsBlank="1" count="101">
        <s v="6215581809004078993"/>
        <s v="6212261809005843282"/>
        <s v="6212261809005882553"/>
        <s v="6215581809007880254"/>
        <s v="6212261809002094061"/>
        <s v="6215581809007520637"/>
        <s v="6212261809005883585"/>
        <s v="6215581809007615833"/>
        <s v="6215591809001552303"/>
        <s v="6212261809002101742"/>
        <s v="6215591809000003332"/>
        <s v="6215581809000210152"/>
        <s v="6217211804027993025"/>
        <s v="6212261809004220300"/>
        <s v="6212263602092122597"/>
        <s v="6212262011027246359"/>
        <s v="6212251809000705009"/>
        <s v="6212261809002093840"/>
        <s v="6222031809000147471"/>
        <s v="6215581809006631641"/>
        <s v="6215581809006831241"/>
        <s v="6215581809007515231"/>
        <s v="6215591809000714581"/>
        <s v="6212261809003794883"/>
        <s v="6215581809005701106"/>
        <s v="6222031809001517342"/>
        <s v="6212261809005764868"/>
        <s v="6222031809001993501"/>
        <s v="6215581809006390230"/>
        <s v="6215591809001247086"/>
        <s v="6215581809007647190"/>
        <s v="6212261809005789360"/>
        <s v="6222031809003011864"/>
        <s v="6212261809002094046"/>
        <s v="6215581809005472690"/>
        <s v="6215581809005256846"/>
        <s v="6215581809007516908"/>
        <s v="6212261809001964835"/>
        <s v="6215581809007521684"/>
        <s v="6212261809002094152"/>
        <s v="6222031907003007104"/>
        <s v="6222031809002255652"/>
        <s v="6212261210001430002"/>
        <s v="6222021809003944066"/>
        <s v="6222031809001487496"/>
        <s v="6212261809001263527"/>
        <s v="6212261809005612455"/>
        <s v="6215581809007519738"/>
        <s v="6212261809003951020"/>
        <s v="6215581809004820113"/>
        <s v="6215581809006831951"/>
        <s v="6215581809006631179"/>
        <s v="6212261809005693513"/>
        <s v="6215581809007795791"/>
        <s v="6215581809007515355"/>
        <s v="6215591809000214806"/>
        <s v="6215581809007516916"/>
        <s v="6215591809000266020"/>
        <s v="6222031809003271955"/>
        <s v="6215581809007613531"/>
        <s v="6215581809007795213"/>
        <s v="6215581809007880379"/>
        <s v="6222031809001517458"/>
        <s v="6215591809001797833"/>
        <s v="6222034000012250944"/>
        <s v="6212263602085492148"/>
        <s v="6215591809001508834"/>
        <s v="6222031809002081603"/>
        <s v="6222031809002254879"/>
        <s v="6215591809001686770"/>
        <s v="6215593202038711035"/>
        <s v="6215581809005818967"/>
        <s v="6222021809006418738"/>
        <s v="6215581809007517286"/>
        <s v="6222081809000491043"/>
        <s v="6222021809006407459"/>
        <s v="6222020200013352907"/>
        <s v="6212261809005785913"/>
        <s v="6217231809001308112"/>
        <s v="6215591809000716065"/>
        <s v="6212261809005843332"/>
        <s v="6212261809002661588"/>
        <s v="6217231812005433522"/>
        <s v="6215581809005702443"/>
        <s v="6222031809003012938"/>
        <s v="6215591809000690054"/>
        <s v="42080119700922401x"/>
        <s v="6212262606001660390"/>
        <s v="6212261503002693697"/>
        <s v="6222031809003435766"/>
        <s v="6222031809003435741"/>
        <s v="6215581809007648826"/>
        <s v="6222031809003435691"/>
        <s v="6222031809003434341"/>
        <s v="6222031809003679272"/>
        <s v="6222031809003680015"/>
        <s v="6215591809001246898"/>
        <s v="621721 1809006224110"/>
        <s v="6217211809001341406"/>
        <s v="6222031809003680700"/>
        <m/>
      </sharedItems>
    </cacheField>
    <cacheField name="社保地区" numFmtId="0">
      <sharedItems containsBlank="1" count="2">
        <s v="屈家岭管理区"/>
        <m/>
      </sharedItems>
    </cacheField>
    <cacheField name="社保类别" numFmtId="0">
      <sharedItems containsBlank="1" count="2">
        <s v="城镇职工社会保险"/>
        <m/>
      </sharedItems>
    </cacheField>
    <cacheField name="社保开始月份" numFmtId="0">
      <sharedItems containsBlank="1" containsNumber="1" containsMixedTypes="1" count="57">
        <n v="2016.3"/>
        <n v="2019.6"/>
        <n v="2022.8"/>
        <n v="2015.11"/>
        <m/>
        <s v="无"/>
        <n v="2019.1"/>
        <n v="2023.6"/>
        <n v="2024.1"/>
        <n v="2020.5"/>
        <n v="2025.1"/>
        <n v="2018.7"/>
        <n v="2019.7"/>
        <n v="2019.9"/>
        <n v="2021.4"/>
        <n v="2020.1"/>
        <n v="2021.7"/>
        <n v="2023.1"/>
        <n v="2023.11"/>
        <n v="2024.5"/>
        <n v="2024.9"/>
        <n v="2016.5"/>
        <n v="2015.12"/>
        <n v="2021.8"/>
        <n v="2022.7"/>
        <n v="2022.1"/>
        <n v="2022.2"/>
        <n v="2022.12"/>
        <n v="2024.2"/>
        <n v="2018.6"/>
        <n v="2018.9"/>
        <n v="2018.1"/>
        <n v="2021.3"/>
        <n v="2023.4"/>
        <n v="2021.6"/>
        <n v="2021.9"/>
        <n v="2021.11"/>
        <n v="2022.9"/>
        <n v="2023.7"/>
        <n v="2023.5"/>
        <n v="2024.4"/>
        <n v="2023.12"/>
        <n v="2024.7"/>
        <n v="2016.7"/>
        <n v="2020.12"/>
        <n v="2021.1"/>
        <n v="2021.12"/>
        <n v="2024.8"/>
        <n v="2024.11"/>
        <n v="2018.8"/>
        <n v="2025.12"/>
        <n v="2025.04"/>
        <s v="劳务（2-5）"/>
        <s v="劳务"/>
        <s v="灵活缴纳"/>
        <n v="2025.05"/>
        <n v="2026.06"/>
      </sharedItems>
    </cacheField>
    <cacheField name="社保号" numFmtId="0">
      <sharedItems containsBlank="1" count="48">
        <m/>
        <s v="H33952212"/>
        <s v="H41291127"/>
        <s v="H35312200"/>
        <s v="H37507124"/>
        <s v="H1602668X"/>
        <s v="H36659476"/>
        <s v="H21095794"/>
        <s v="H41837943"/>
        <s v="H2947457X"/>
        <s v="H23087026"/>
        <s v="H35495369"/>
        <s v="H44240042"/>
        <s v="H41519371"/>
        <s v="H08803258"/>
        <s v="H37337022"/>
        <s v="H09823410"/>
        <s v="H06135663"/>
        <s v="H37297454"/>
        <s v="F58477126"/>
        <s v="H44010992"/>
        <s v="H41158705"/>
        <s v="H38096179"/>
        <s v="H16456735"/>
        <s v="H37316029"/>
        <s v="H36438964"/>
        <s v="H38700743"/>
        <s v="K17027694"/>
        <s v="H40639371 "/>
        <s v="H36271375"/>
        <s v="H40949118"/>
        <s v="H4110415X"/>
        <s v="H06135612"/>
        <s v="H12804245"/>
        <s v="H12799538"/>
        <s v="H37380493"/>
        <s v="H39666399"/>
        <s v="H32341225"/>
        <s v="H40513808"/>
        <s v="H32912446"/>
        <s v="H12721992"/>
        <s v="H12768678"/>
        <s v="H17100028"/>
        <s v="H41833299"/>
        <s v="H41412777"/>
        <s v="H1275927X"/>
        <s v="考虑中"/>
        <s v="H15881254"/>
      </sharedItems>
    </cacheField>
    <cacheField name="金融社保卡号" numFmtId="0">
      <sharedItems containsBlank="1" count="48">
        <m/>
        <s v="6217211809005131209"/>
        <s v="6228231609007548175"/>
        <s v="6230 5505 6798 9473"/>
        <s v="6217211809005609170"/>
        <s v="6228231605139931362"/>
        <s v="6228231609007885775"/>
        <s v="6228231605235266069"/>
        <s v="6228231609017487679"/>
        <s v="6217211809004315340"/>
        <s v="6228231605236813562"/>
        <s v="6230 5505 6799 0869"/>
        <s v="62282316090118659870"/>
        <s v="6228231609007511272"/>
        <s v="6228231605017913565"/>
        <s v="6217211809005207041"/>
        <s v="6213361600784004619"/>
        <s v="6217211809000284938"/>
        <s v="6230 5505 6776 1435"/>
        <s v="6228231105006024367"/>
        <s v="6228230755294844065"/>
        <s v="6230 5505 8644 6570"/>
        <s v="6228231609007667173"/>
        <s v="6230 5505 6775 7037"/>
        <s v="6228231605176526661"/>
        <s v="6217211809005207009"/>
        <s v="6228231609007675374"/>
        <s v="6230 5505 8438 0409"/>
        <s v="6217567600004086647"/>
        <s v="6228381609007857279"/>
        <s v="6228231609005608377"/>
        <s v="6228231609018649871"/>
        <s v="6230 5505 8641 5773"/>
        <s v="6217211809000284888"/>
        <s v="6228231605061552368"/>
        <s v="6228231605061506661"/>
        <s v="6217211809005592152"/>
        <s v="6217211809005206894"/>
        <s v="6230 5505 6534 7914"/>
        <s v="6230 5505 8640 2037"/>
        <s v="6217211809005129708"/>
        <s v="6228231605060761960"/>
        <s v="6228231605061213763"/>
        <s v="6230 5505 1744 1658"/>
        <s v="6228231609017482472"/>
        <s v="6217211809005974178"/>
        <s v="6228231605061124366"/>
        <s v="6213361606803702067"/>
      </sharedItems>
    </cacheField>
    <cacheField name="公积金开始月份" numFmtId="0">
      <sharedItems containsBlank="1" containsNumber="1" containsMixedTypes="1" count="52">
        <n v="2016.7"/>
        <n v="2019.6"/>
        <n v="2022.8"/>
        <m/>
        <n v="2025.05"/>
        <n v="2019.1"/>
        <n v="2023.6"/>
        <n v="2024.1"/>
        <n v="2020.5"/>
        <n v="2025.1"/>
        <n v="2018.7"/>
        <n v="2019.7"/>
        <n v="2019.9"/>
        <n v="2021.4"/>
        <n v="2020.1"/>
        <n v="2021.7"/>
        <n v="2023.1"/>
        <n v="2023.11"/>
        <n v="2024.5"/>
        <n v="2024.9"/>
        <n v="2021.8"/>
        <n v="2022.7"/>
        <n v="2022.1"/>
        <n v="2022.2"/>
        <n v="2022.12"/>
        <n v="2024.2"/>
        <n v="2018.6"/>
        <n v="2018.9"/>
        <n v="2018.1"/>
        <n v="2021.3"/>
        <n v="2023.4"/>
        <n v="2021.6"/>
        <n v="2021.9"/>
        <n v="2021.11"/>
        <n v="2022.9"/>
        <n v="2023.7"/>
        <n v="2023.5"/>
        <n v="2024.4"/>
        <n v="2023.12"/>
        <n v="2024.7"/>
        <n v="2020.12"/>
        <n v="2021.1"/>
        <n v="2021.12"/>
        <n v="2024.8"/>
        <n v="2024.11"/>
        <n v="2018.8"/>
        <n v="2025.12"/>
        <n v="2025.04"/>
        <s v="劳务（2-5）"/>
        <s v="劳务"/>
        <s v="灵活缴纳"/>
        <n v="2026.06"/>
      </sharedItems>
    </cacheField>
    <cacheField name="厂牌" numFmtId="0">
      <sharedItems containsBlank="1" count="4">
        <s v="1套"/>
        <s v="/"/>
        <s v="2套"/>
        <m/>
      </sharedItems>
    </cacheField>
    <cacheField name="宿舍安排" numFmtId="0">
      <sharedItems containsString="0" containsBlank="1" containsNumber="1" containsInteger="1" minValue="0" maxValue="538" count="18">
        <m/>
        <n v="503"/>
        <n v="523"/>
        <n v="511"/>
        <n v="521"/>
        <n v="520"/>
        <n v="501"/>
        <n v="528"/>
        <n v="509"/>
        <n v="506"/>
        <n v="519"/>
        <n v="529"/>
        <n v="516"/>
        <n v="531"/>
        <n v="538"/>
        <n v="535"/>
        <n v="537"/>
        <n v="504"/>
      </sharedItems>
    </cacheField>
    <cacheField name="体检记录" numFmtId="0">
      <sharedItems containsBlank="1" containsNumber="1" containsMixedTypes="1" count="23">
        <s v="2024/9"/>
        <s v="2024/6"/>
        <s v="2025.02"/>
        <s v="2024/1"/>
        <s v="2024/3"/>
        <s v="2024/5"/>
        <s v="2025/8"/>
        <s v="2025/10"/>
        <s v="2024/8"/>
        <s v="2025/2"/>
        <s v="2025/3"/>
        <s v="2025/5"/>
        <s v="2024/10"/>
        <s v="2024/2"/>
        <s v="2024/12"/>
        <s v="2025/6"/>
        <s v="2024/7"/>
        <s v="2025/1"/>
        <s v="2025.03"/>
        <n v="2025.03"/>
        <s v="2025.04"/>
        <s v="2025.05"/>
        <m/>
      </sharedItems>
    </cacheField>
    <cacheField name="工衣发放" numFmtId="0">
      <sharedItems containsString="0" containsBlank="1" containsNonDate="0" count="1">
        <m/>
      </sharedItems>
    </cacheField>
    <cacheField name="劳保发放" numFmtId="0">
      <sharedItems containsString="0" containsBlank="1" containsNonDate="0" count="1">
        <m/>
      </sharedItems>
    </cacheField>
    <cacheField name="转正" numFmtId="0">
      <sharedItems containsBlank="1" containsDate="1" containsMixedTypes="1" count="67">
        <d v="2016-02-15T00:00:00"/>
        <d v="2019-06-01T00:00:00"/>
        <d v="2022-08-01T00:00:00"/>
        <d v="2015-11-01T00:00:00"/>
        <d v="2024-08-01T00:00:00"/>
        <d v="2019-07-10T00:00:00"/>
        <s v="试用期2025.5转"/>
        <d v="2019-01-01T00:00:00"/>
        <d v="2020-07-01T00:00:00"/>
        <d v="2023-05-15T00:00:00"/>
        <d v="2023-12-11T00:00:00"/>
        <d v="2024-06-18T00:00:00"/>
        <d v="2019-06-10T00:00:00"/>
        <d v="2022-07-20T00:00:00"/>
        <d v="2025-01-01T00:00:00"/>
        <d v="2025-04-01T00:00:00"/>
        <d v="2018-07-01T00:00:00"/>
        <d v="2019-06-24T00:00:00"/>
        <d v="2019-09-02T00:00:00"/>
        <d v="2021-04-01T00:00:00"/>
        <d v="2020-01-01T00:00:00"/>
        <d v="2021-06-02T00:00:00"/>
        <d v="2023-01-01T00:00:00"/>
        <d v="2023-10-01T00:00:00"/>
        <d v="2023-11-01T00:00:00"/>
        <d v="2024-05-01T00:00:00"/>
        <d v="2024-09-01T00:00:00"/>
        <d v="2016-04-10T00:00:00"/>
        <d v="2018-06-04T00:00:00"/>
        <d v="2021-05-01T00:00:00"/>
        <d v="2021-05-14T00:00:00"/>
        <d v="2022-01-01T00:00:00"/>
        <d v="2022-02-01T00:00:00"/>
        <d v="2022-12-01T00:00:00"/>
        <d v="2024-02-01T00:00:00"/>
        <d v="2019-11-15T00:00:00"/>
        <d v="2018-08-20T00:00:00"/>
        <d v="2018-10-05T00:00:00"/>
        <d v="2019-08-05T00:00:00"/>
        <d v="2019-08-12T00:00:00"/>
        <d v="2020-09-19T00:00:00"/>
        <d v="2021-03-01T00:00:00"/>
        <d v="2021-06-01T00:00:00"/>
        <d v="2021-09-01T00:00:00"/>
        <d v="2021-11-01T00:00:00"/>
        <d v="2022-09-01T00:00:00"/>
        <d v="2023-05-01T00:00:00"/>
        <d v="2023-06-01T00:00:00"/>
        <d v="2023-12-01T00:00:00"/>
        <d v="2024-03-18T00:00:00"/>
        <d v="2024-09-09T00:00:00"/>
        <d v="2018-08-27T00:00:00"/>
        <d v="2016-05-23T00:00:00"/>
        <d v="2020-12-01T00:00:00"/>
        <d v="2021-10-01T00:00:00"/>
        <d v="2021-11-11T00:00:00"/>
        <d v="2024-10-01T00:00:00"/>
        <d v="2024-10-22T00:00:00"/>
        <m/>
        <d v="2024-10-15T00:00:00"/>
        <d v="2024-12-01T00:00:00"/>
        <d v="2025-04-20T00:00:00"/>
        <s v="试用期2025.6转"/>
        <s v="2025.4.1劳动合同续签"/>
        <s v="离职返聘"/>
        <s v="2025/07转"/>
        <s v="2025/08转"/>
      </sharedItems>
    </cacheField>
    <cacheField name="出生年" numFmtId="0">
      <sharedItems containsString="0" containsBlank="1" containsNumber="1" containsInteger="1" minValue="0" maxValue="2002" count="36">
        <n v="1978"/>
        <n v="1988"/>
        <n v="1992"/>
        <n v="1975"/>
        <n v="1968"/>
        <n v="1962"/>
        <n v="1976"/>
        <n v="1980"/>
        <n v="1967"/>
        <n v="1986"/>
        <n v="1979"/>
        <n v="1971"/>
        <n v="1990"/>
        <n v="1985"/>
        <n v="2001"/>
        <n v="1970"/>
        <n v="1972"/>
        <n v="1981"/>
        <n v="1987"/>
        <n v="1974"/>
        <n v="1999"/>
        <n v="1982"/>
        <n v="1969"/>
        <n v="1994"/>
        <n v="1973"/>
        <n v="1965"/>
        <n v="1977"/>
        <n v="1996"/>
        <n v="1983"/>
        <n v="1984"/>
        <n v="1989"/>
        <n v="1998"/>
        <n v="1964"/>
        <n v="2002"/>
        <n v="1995"/>
        <m/>
      </sharedItems>
    </cacheField>
    <cacheField name="月" numFmtId="0">
      <sharedItems containsString="0" containsBlank="1" containsNumber="1" containsInteger="1" minValue="0" maxValue="12" count="13">
        <n v="1"/>
        <n v="10"/>
        <n v="11"/>
        <n v="6"/>
        <n v="3"/>
        <n v="12"/>
        <n v="8"/>
        <n v="7"/>
        <n v="5"/>
        <n v="9"/>
        <n v="2"/>
        <n v="4"/>
        <m/>
      </sharedItems>
    </cacheField>
    <cacheField name="日" numFmtId="0">
      <sharedItems containsString="0" containsBlank="1" containsNumber="1" containsInteger="1" minValue="0" maxValue="30" count="30">
        <n v="2"/>
        <n v="18"/>
        <n v="30"/>
        <n v="6"/>
        <n v="3"/>
        <n v="1"/>
        <n v="14"/>
        <n v="8"/>
        <n v="17"/>
        <n v="25"/>
        <n v="22"/>
        <n v="5"/>
        <n v="16"/>
        <n v="29"/>
        <n v="24"/>
        <n v="13"/>
        <n v="11"/>
        <n v="15"/>
        <n v="20"/>
        <n v="26"/>
        <n v="7"/>
        <n v="28"/>
        <n v="10"/>
        <n v="27"/>
        <n v="21"/>
        <n v="4"/>
        <n v="9"/>
        <n v="12"/>
        <n v="23"/>
        <m/>
      </sharedItems>
    </cacheField>
  </cacheFields>
</pivotCacheDefinition>
</file>

<file path=xl/pivotCache/pivotCacheRecords1.xml><?xml version="1.0" encoding="utf-8"?>
<pivotCacheRecords xmlns="http://schemas.openxmlformats.org/spreadsheetml/2006/main" xmlns:r="http://schemas.openxmlformats.org/officeDocument/2006/relationships" count="101">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D8" firstHeaderRow="1" firstDataRow="2" firstDataCol="1"/>
  <pivotFields count="79">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97">
        <item x="4"/>
        <item x="17"/>
        <item x="33"/>
        <item x="0"/>
        <item x="75"/>
        <item x="35"/>
        <item x="44"/>
        <item x="34"/>
        <item x="18"/>
        <item x="45"/>
        <item x="74"/>
        <item x="51"/>
        <item x="46"/>
        <item x="22"/>
        <item x="48"/>
        <item x="8"/>
        <item x="1"/>
        <item x="49"/>
        <item x="50"/>
        <item x="47"/>
        <item x="13"/>
        <item x="19"/>
        <item x="6"/>
        <item x="2"/>
        <item x="20"/>
        <item x="42"/>
        <item x="43"/>
        <item x="9"/>
        <item x="57"/>
        <item x="52"/>
        <item x="76"/>
        <item x="69"/>
        <item x="53"/>
        <item x="21"/>
        <item x="54"/>
        <item x="55"/>
        <item x="56"/>
        <item x="36"/>
        <item x="58"/>
        <item x="37"/>
        <item x="23"/>
        <item x="80"/>
        <item x="77"/>
        <item x="78"/>
        <item x="59"/>
        <item x="79"/>
        <item x="38"/>
        <item x="39"/>
        <item x="14"/>
        <item x="24"/>
        <item x="3"/>
        <item x="60"/>
        <item x="61"/>
        <item x="40"/>
        <item x="25"/>
        <item x="62"/>
        <item x="10"/>
        <item x="63"/>
        <item x="64"/>
        <item x="65"/>
        <item x="26"/>
        <item x="27"/>
        <item x="28"/>
        <item x="66"/>
        <item x="11"/>
        <item x="67"/>
        <item x="41"/>
        <item x="68"/>
        <item x="29"/>
        <item x="30"/>
        <item x="31"/>
        <item x="70"/>
        <item x="71"/>
        <item x="72"/>
        <item x="12"/>
        <item x="32"/>
        <item x="81"/>
        <item x="82"/>
        <item x="83"/>
        <item x="84"/>
        <item x="5"/>
        <item x="85"/>
        <item x="86"/>
        <item x="87"/>
        <item x="88"/>
        <item x="89"/>
        <item x="73"/>
        <item x="15"/>
        <item x="16"/>
        <item x="7"/>
        <item x="90"/>
        <item x="91"/>
        <item x="92"/>
        <item x="93"/>
        <item x="94"/>
        <item x="95"/>
        <item t="default"/>
      </items>
    </pivotField>
    <pivotField dataField="1" compact="0" showAll="0">
      <items count="100">
        <item x="63"/>
        <item x="54"/>
        <item x="43"/>
        <item x="74"/>
        <item x="47"/>
        <item x="64"/>
        <item x="86"/>
        <item x="80"/>
        <item x="11"/>
        <item x="90"/>
        <item x="60"/>
        <item x="95"/>
        <item x="3"/>
        <item x="73"/>
        <item x="45"/>
        <item x="27"/>
        <item x="10"/>
        <item x="15"/>
        <item x="66"/>
        <item x="29"/>
        <item x="82"/>
        <item x="28"/>
        <item x="38"/>
        <item x="49"/>
        <item x="12"/>
        <item x="24"/>
        <item x="40"/>
        <item x="6"/>
        <item x="97"/>
        <item x="93"/>
        <item x="23"/>
        <item x="35"/>
        <item x="21"/>
        <item x="91"/>
        <item x="59"/>
        <item x="30"/>
        <item x="26"/>
        <item x="50"/>
        <item x="84"/>
        <item x="75"/>
        <item x="85"/>
        <item x="92"/>
        <item x="39"/>
        <item x="20"/>
        <item x="56"/>
        <item x="70"/>
        <item x="19"/>
        <item x="46"/>
        <item x="58"/>
        <item x="79"/>
        <item x="33"/>
        <item x="18"/>
        <item x="52"/>
        <item x="41"/>
        <item x="88"/>
        <item x="5"/>
        <item x="42"/>
        <item x="14"/>
        <item x="96"/>
        <item x="22"/>
        <item x="81"/>
        <item x="57"/>
        <item x="34"/>
        <item x="77"/>
        <item x="71"/>
        <item x="31"/>
        <item x="83"/>
        <item x="48"/>
        <item x="7"/>
        <item x="37"/>
        <item x="17"/>
        <item x="76"/>
        <item x="65"/>
        <item x="72"/>
        <item x="9"/>
        <item x="1"/>
        <item x="62"/>
        <item x="68"/>
        <item x="32"/>
        <item x="69"/>
        <item x="13"/>
        <item x="89"/>
        <item x="53"/>
        <item x="16"/>
        <item x="8"/>
        <item x="87"/>
        <item x="51"/>
        <item x="61"/>
        <item x="0"/>
        <item x="36"/>
        <item x="25"/>
        <item x="44"/>
        <item x="2"/>
        <item x="55"/>
        <item x="67"/>
        <item x="78"/>
        <item x="94"/>
        <item x="4"/>
        <item x="98"/>
        <item t="default"/>
      </items>
    </pivotField>
    <pivotField compact="0" showAll="0">
      <items count="4">
        <item x="0"/>
        <item x="1"/>
        <item x="2"/>
        <item t="default"/>
      </items>
    </pivotField>
    <pivotField axis="axisCol" compact="0" showAll="0">
      <items count="12">
        <item x="1"/>
        <item x="2"/>
        <item x="4"/>
        <item x="5"/>
        <item x="0"/>
        <item x="6"/>
        <item x="9"/>
        <item x="8"/>
        <item x="3"/>
        <item x="7"/>
        <item x="10"/>
        <item t="default"/>
      </items>
    </pivotField>
    <pivotField compact="0" showAll="0">
      <items count="3">
        <item x="0"/>
        <item x="1"/>
        <item t="default"/>
      </items>
    </pivotField>
    <pivotField compact="0" showAll="0">
      <items count="67">
        <item x="5"/>
        <item x="21"/>
        <item x="48"/>
        <item x="46"/>
        <item x="45"/>
        <item x="40"/>
        <item x="37"/>
        <item x="7"/>
        <item x="49"/>
        <item x="8"/>
        <item x="11"/>
        <item x="12"/>
        <item x="15"/>
        <item x="19"/>
        <item x="17"/>
        <item x="20"/>
        <item x="16"/>
        <item x="62"/>
        <item x="51"/>
        <item x="28"/>
        <item x="25"/>
        <item x="53"/>
        <item x="47"/>
        <item x="34"/>
        <item x="29"/>
        <item x="0"/>
        <item x="64"/>
        <item x="63"/>
        <item x="1"/>
        <item x="35"/>
        <item x="6"/>
        <item x="9"/>
        <item x="26"/>
        <item x="18"/>
        <item x="24"/>
        <item x="14"/>
        <item x="60"/>
        <item x="44"/>
        <item x="4"/>
        <item x="38"/>
        <item x="52"/>
        <item x="36"/>
        <item x="41"/>
        <item x="30"/>
        <item x="39"/>
        <item x="32"/>
        <item x="61"/>
        <item x="10"/>
        <item x="3"/>
        <item x="58"/>
        <item x="43"/>
        <item x="42"/>
        <item x="33"/>
        <item x="31"/>
        <item x="2"/>
        <item x="55"/>
        <item x="50"/>
        <item x="27"/>
        <item x="22"/>
        <item x="59"/>
        <item x="23"/>
        <item x="54"/>
        <item x="13"/>
        <item x="56"/>
        <item x="57"/>
        <item x="65"/>
        <item t="default"/>
      </items>
    </pivotField>
    <pivotField axis="axisRow" compact="0" multipleItemSelectionAllowed="1" showAll="0">
      <items count="85">
        <item h="1" x="4"/>
        <item h="1" x="0"/>
        <item h="1" x="30"/>
        <item h="1" x="62"/>
        <item h="1" x="31"/>
        <item h="1" x="16"/>
        <item h="1" x="39"/>
        <item h="1" x="61"/>
        <item h="1" x="40"/>
        <item h="1" x="7"/>
        <item h="1" x="1"/>
        <item h="1" x="12"/>
        <item h="1" x="17"/>
        <item h="1" x="2"/>
        <item h="1" x="41"/>
        <item h="1" x="42"/>
        <item h="1" x="18"/>
        <item h="1" x="38"/>
        <item h="1" x="20"/>
        <item h="1" x="8"/>
        <item h="1" x="43"/>
        <item h="1" x="63"/>
        <item h="1" x="44"/>
        <item h="1" x="19"/>
        <item h="1" x="45"/>
        <item h="1" x="46"/>
        <item h="1" x="32"/>
        <item h="1" x="47"/>
        <item h="1" x="48"/>
        <item h="1" x="49"/>
        <item h="1" x="33"/>
        <item h="1" x="21"/>
        <item h="1" x="64"/>
        <item h="1" x="50"/>
        <item h="1" x="65"/>
        <item h="1" x="34"/>
        <item h="1" x="35"/>
        <item h="1" x="13"/>
        <item h="1" x="3"/>
        <item h="1" x="51"/>
        <item h="1" x="52"/>
        <item h="1" x="36"/>
        <item h="1" x="22"/>
        <item h="1" x="53"/>
        <item h="1" x="9"/>
        <item h="1" x="54"/>
        <item h="1" x="55"/>
        <item h="1" x="23"/>
        <item h="1" x="24"/>
        <item h="1" x="25"/>
        <item h="1" x="56"/>
        <item h="1" x="10"/>
        <item h="1" x="57"/>
        <item h="1" x="37"/>
        <item h="1" x="58"/>
        <item h="1" x="26"/>
        <item h="1" x="27"/>
        <item h="1" x="28"/>
        <item h="1" x="59"/>
        <item h="1" x="11"/>
        <item h="1" x="29"/>
        <item h="1" x="66"/>
        <item h="1" x="69"/>
        <item h="1" x="67"/>
        <item h="1" x="5"/>
        <item h="1" x="70"/>
        <item h="1" x="60"/>
        <item h="1" x="14"/>
        <item h="1" x="15"/>
        <item h="1" x="68"/>
        <item h="1" x="74"/>
        <item h="1" x="6"/>
        <item h="1" x="77"/>
        <item h="1" x="71"/>
        <item h="1" x="75"/>
        <item h="1" x="72"/>
        <item h="1" x="78"/>
        <item h="1" x="73"/>
        <item h="1" x="76"/>
        <item x="79"/>
        <item x="80"/>
        <item x="81"/>
        <item h="1" x="82"/>
        <item h="1" x="83"/>
        <item t="default"/>
      </items>
    </pivotField>
    <pivotField compact="0" showAll="0">
      <items count="102">
        <item x="85"/>
        <item x="48"/>
        <item x="63"/>
        <item x="69"/>
        <item x="35"/>
        <item x="68"/>
        <item x="90"/>
        <item x="37"/>
        <item x="41"/>
        <item x="0"/>
        <item x="50"/>
        <item x="3"/>
        <item x="1"/>
        <item x="45"/>
        <item x="97"/>
        <item x="83"/>
        <item x="20"/>
        <item x="14"/>
        <item x="75"/>
        <item x="8"/>
        <item x="44"/>
        <item x="4"/>
        <item x="78"/>
        <item x="58"/>
        <item x="34"/>
        <item x="31"/>
        <item x="57"/>
        <item x="24"/>
        <item x="99"/>
        <item x="94"/>
        <item x="51"/>
        <item x="25"/>
        <item x="36"/>
        <item x="54"/>
        <item x="81"/>
        <item x="9"/>
        <item x="65"/>
        <item x="17"/>
        <item x="56"/>
        <item x="11"/>
        <item x="87"/>
        <item x="98"/>
        <item x="16"/>
        <item x="46"/>
        <item x="33"/>
        <item x="91"/>
        <item x="30"/>
        <item x="93"/>
        <item x="92"/>
        <item x="64"/>
        <item x="53"/>
        <item x="10"/>
        <item x="66"/>
        <item x="77"/>
        <item x="84"/>
        <item x="43"/>
        <item x="29"/>
        <item x="18"/>
        <item x="39"/>
        <item x="72"/>
        <item x="7"/>
        <item x="79"/>
        <item x="49"/>
        <item x="88"/>
        <item x="26"/>
        <item x="27"/>
        <item x="2"/>
        <item x="59"/>
        <item x="86"/>
        <item x="95"/>
        <item x="6"/>
        <item x="32"/>
        <item x="67"/>
        <item x="71"/>
        <item x="42"/>
        <item x="62"/>
        <item x="28"/>
        <item x="22"/>
        <item x="52"/>
        <item x="47"/>
        <item x="61"/>
        <item x="60"/>
        <item x="19"/>
        <item x="12"/>
        <item x="70"/>
        <item x="89"/>
        <item x="13"/>
        <item x="73"/>
        <item x="15"/>
        <item x="74"/>
        <item x="21"/>
        <item x="82"/>
        <item x="40"/>
        <item x="55"/>
        <item x="23"/>
        <item x="76"/>
        <item x="38"/>
        <item x="80"/>
        <item x="96"/>
        <item x="5"/>
        <item x="100"/>
        <item t="default"/>
      </items>
    </pivotField>
    <pivotField compact="0" showAll="0">
      <items count="102">
        <item x="22"/>
        <item x="73"/>
        <item x="92"/>
        <item x="94"/>
        <item x="63"/>
        <item x="79"/>
        <item x="11"/>
        <item x="69"/>
        <item x="36"/>
        <item x="56"/>
        <item x="42"/>
        <item x="23"/>
        <item x="17"/>
        <item x="86"/>
        <item x="48"/>
        <item x="97"/>
        <item x="51"/>
        <item x="0"/>
        <item x="30"/>
        <item x="28"/>
        <item x="78"/>
        <item x="52"/>
        <item x="71"/>
        <item x="77"/>
        <item x="31"/>
        <item x="53"/>
        <item x="15"/>
        <item x="44"/>
        <item x="2"/>
        <item x="70"/>
        <item x="32"/>
        <item x="46"/>
        <item x="85"/>
        <item x="35"/>
        <item x="29"/>
        <item x="20"/>
        <item x="68"/>
        <item x="49"/>
        <item x="62"/>
        <item x="25"/>
        <item x="45"/>
        <item x="67"/>
        <item x="65"/>
        <item x="19"/>
        <item x="66"/>
        <item x="96"/>
        <item x="76"/>
        <item x="64"/>
        <item x="75"/>
        <item x="14"/>
        <item x="10"/>
        <item x="24"/>
        <item x="95"/>
        <item x="93"/>
        <item x="13"/>
        <item x="3"/>
        <item x="98"/>
        <item x="83"/>
        <item x="87"/>
        <item x="84"/>
        <item x="80"/>
        <item x="82"/>
        <item x="50"/>
        <item x="81"/>
        <item x="89"/>
        <item x="88"/>
        <item x="74"/>
        <item x="9"/>
        <item x="5"/>
        <item x="57"/>
        <item x="99"/>
        <item x="37"/>
        <item x="47"/>
        <item x="12"/>
        <item x="38"/>
        <item x="39"/>
        <item x="33"/>
        <item x="90"/>
        <item x="18"/>
        <item x="34"/>
        <item x="55"/>
        <item x="54"/>
        <item x="58"/>
        <item x="4"/>
        <item x="60"/>
        <item x="7"/>
        <item x="59"/>
        <item x="41"/>
        <item x="26"/>
        <item x="8"/>
        <item x="43"/>
        <item x="21"/>
        <item x="72"/>
        <item x="1"/>
        <item x="6"/>
        <item x="61"/>
        <item x="40"/>
        <item x="16"/>
        <item x="91"/>
        <item x="27"/>
        <item x="100"/>
        <item t="default"/>
      </items>
    </pivotField>
    <pivotField compact="0" showAll="0">
      <items count="27">
        <item x="18"/>
        <item x="23"/>
        <item x="24"/>
        <item x="10"/>
        <item x="3"/>
        <item x="5"/>
        <item x="15"/>
        <item x="4"/>
        <item x="2"/>
        <item x="8"/>
        <item x="22"/>
        <item x="1"/>
        <item x="21"/>
        <item x="12"/>
        <item x="17"/>
        <item x="9"/>
        <item x="20"/>
        <item x="16"/>
        <item x="14"/>
        <item x="7"/>
        <item x="19"/>
        <item x="6"/>
        <item x="0"/>
        <item x="13"/>
        <item x="11"/>
        <item x="25"/>
        <item t="default"/>
      </items>
    </pivotField>
    <pivotField compact="0" showAll="0">
      <items count="102">
        <item x="73"/>
        <item x="92"/>
        <item x="95"/>
        <item x="22"/>
        <item x="93"/>
        <item x="90"/>
        <item x="86"/>
        <item x="50"/>
        <item x="91"/>
        <item x="64"/>
        <item x="68"/>
        <item x="66"/>
        <item x="59"/>
        <item x="49"/>
        <item x="20"/>
        <item x="67"/>
        <item x="35"/>
        <item x="29"/>
        <item x="60"/>
        <item x="25"/>
        <item x="96"/>
        <item x="54"/>
        <item x="45"/>
        <item x="14"/>
        <item x="19"/>
        <item x="85"/>
        <item x="46"/>
        <item x="97"/>
        <item x="44"/>
        <item x="43"/>
        <item x="57"/>
        <item x="4"/>
        <item x="58"/>
        <item x="53"/>
        <item x="70"/>
        <item x="62"/>
        <item x="48"/>
        <item x="32"/>
        <item x="30"/>
        <item x="18"/>
        <item x="26"/>
        <item x="21"/>
        <item x="3"/>
        <item x="24"/>
        <item x="37"/>
        <item x="72"/>
        <item x="76"/>
        <item x="94"/>
        <item x="15"/>
        <item x="5"/>
        <item x="63"/>
        <item x="78"/>
        <item x="34"/>
        <item x="79"/>
        <item x="17"/>
        <item x="0"/>
        <item x="52"/>
        <item x="41"/>
        <item x="51"/>
        <item x="75"/>
        <item x="38"/>
        <item x="55"/>
        <item x="13"/>
        <item x="28"/>
        <item x="33"/>
        <item x="39"/>
        <item x="2"/>
        <item x="31"/>
        <item x="8"/>
        <item x="7"/>
        <item x="9"/>
        <item x="99"/>
        <item x="77"/>
        <item x="10"/>
        <item x="65"/>
        <item x="80"/>
        <item x="16"/>
        <item x="74"/>
        <item x="71"/>
        <item x="81"/>
        <item x="98"/>
        <item x="47"/>
        <item x="1"/>
        <item x="89"/>
        <item x="23"/>
        <item x="11"/>
        <item x="87"/>
        <item x="56"/>
        <item x="12"/>
        <item x="36"/>
        <item x="69"/>
        <item x="42"/>
        <item x="82"/>
        <item x="83"/>
        <item x="88"/>
        <item x="6"/>
        <item x="40"/>
        <item x="61"/>
        <item x="84"/>
        <item x="27"/>
        <item x="100"/>
        <item t="default"/>
      </items>
    </pivotField>
    <pivotField compact="0" showAll="0">
      <items count="6">
        <item x="3"/>
        <item x="2"/>
        <item x="1"/>
        <item x="0"/>
        <item x="4"/>
        <item t="default"/>
      </items>
    </pivotField>
    <pivotField compact="0" showAll="0">
      <items count="88">
        <item x="79"/>
        <item x="81"/>
        <item x="11"/>
        <item x="74"/>
        <item x="78"/>
        <item x="34"/>
        <item x="56"/>
        <item x="57"/>
        <item x="20"/>
        <item x="45"/>
        <item x="18"/>
        <item x="58"/>
        <item x="33"/>
        <item x="27"/>
        <item x="53"/>
        <item x="23"/>
        <item x="82"/>
        <item x="49"/>
        <item x="41"/>
        <item x="12"/>
        <item x="17"/>
        <item x="46"/>
        <item x="42"/>
        <item x="83"/>
        <item x="48"/>
        <item x="37"/>
        <item x="3"/>
        <item x="64"/>
        <item x="38"/>
        <item x="65"/>
        <item x="80"/>
        <item x="51"/>
        <item x="50"/>
        <item x="67"/>
        <item x="10"/>
        <item x="0"/>
        <item x="36"/>
        <item x="29"/>
        <item x="30"/>
        <item x="4"/>
        <item x="47"/>
        <item x="19"/>
        <item x="44"/>
        <item x="15"/>
        <item x="61"/>
        <item x="52"/>
        <item x="26"/>
        <item x="85"/>
        <item x="16"/>
        <item x="5"/>
        <item x="32"/>
        <item x="54"/>
        <item x="39"/>
        <item x="7"/>
        <item x="24"/>
        <item x="68"/>
        <item x="66"/>
        <item x="21"/>
        <item x="28"/>
        <item x="25"/>
        <item x="31"/>
        <item x="63"/>
        <item x="73"/>
        <item x="55"/>
        <item x="69"/>
        <item x="84"/>
        <item x="2"/>
        <item x="43"/>
        <item x="77"/>
        <item x="8"/>
        <item x="71"/>
        <item x="62"/>
        <item x="22"/>
        <item x="35"/>
        <item x="1"/>
        <item x="9"/>
        <item x="40"/>
        <item x="13"/>
        <item x="14"/>
        <item x="59"/>
        <item x="75"/>
        <item x="72"/>
        <item x="70"/>
        <item x="6"/>
        <item x="76"/>
        <item x="60"/>
        <item x="86"/>
        <item t="default"/>
      </items>
    </pivotField>
    <pivotField compact="0" showAll="0">
      <items count="102">
        <item x="87"/>
        <item x="6"/>
        <item x="74"/>
        <item x="35"/>
        <item x="9"/>
        <item x="23"/>
        <item x="5"/>
        <item x="57"/>
        <item x="29"/>
        <item x="99"/>
        <item x="50"/>
        <item x="37"/>
        <item x="17"/>
        <item x="88"/>
        <item x="86"/>
        <item x="20"/>
        <item x="68"/>
        <item x="47"/>
        <item x="12"/>
        <item x="38"/>
        <item x="39"/>
        <item x="33"/>
        <item x="90"/>
        <item x="63"/>
        <item x="18"/>
        <item x="34"/>
        <item x="55"/>
        <item x="61"/>
        <item x="54"/>
        <item x="58"/>
        <item x="49"/>
        <item x="62"/>
        <item x="25"/>
        <item x="4"/>
        <item x="81"/>
        <item x="45"/>
        <item x="60"/>
        <item x="48"/>
        <item x="97"/>
        <item x="51"/>
        <item x="67"/>
        <item x="7"/>
        <item x="59"/>
        <item x="89"/>
        <item x="40"/>
        <item x="0"/>
        <item x="41"/>
        <item x="65"/>
        <item x="69"/>
        <item x="11"/>
        <item x="26"/>
        <item x="19"/>
        <item x="8"/>
        <item x="43"/>
        <item x="36"/>
        <item x="56"/>
        <item x="66"/>
        <item x="30"/>
        <item x="21"/>
        <item x="96"/>
        <item x="72"/>
        <item x="28"/>
        <item x="78"/>
        <item x="52"/>
        <item x="71"/>
        <item x="76"/>
        <item x="91"/>
        <item x="64"/>
        <item x="77"/>
        <item x="75"/>
        <item x="80"/>
        <item x="14"/>
        <item x="10"/>
        <item x="31"/>
        <item x="53"/>
        <item x="24"/>
        <item x="1"/>
        <item x="79"/>
        <item x="95"/>
        <item x="15"/>
        <item x="44"/>
        <item x="2"/>
        <item x="93"/>
        <item x="94"/>
        <item x="70"/>
        <item x="22"/>
        <item x="13"/>
        <item x="3"/>
        <item x="32"/>
        <item x="83"/>
        <item x="42"/>
        <item x="46"/>
        <item x="98"/>
        <item x="92"/>
        <item x="73"/>
        <item x="27"/>
        <item x="16"/>
        <item x="82"/>
        <item x="84"/>
        <item x="85"/>
        <item x="100"/>
        <item t="default"/>
      </items>
    </pivotField>
    <pivotField compact="0" showAll="0">
      <items count="38">
        <item x="33"/>
        <item x="14"/>
        <item x="20"/>
        <item x="31"/>
        <item x="27"/>
        <item x="34"/>
        <item x="23"/>
        <item x="2"/>
        <item x="12"/>
        <item x="30"/>
        <item x="1"/>
        <item x="18"/>
        <item x="9"/>
        <item x="13"/>
        <item x="29"/>
        <item x="28"/>
        <item x="21"/>
        <item x="17"/>
        <item x="7"/>
        <item x="10"/>
        <item x="0"/>
        <item x="26"/>
        <item x="6"/>
        <item x="3"/>
        <item x="19"/>
        <item x="24"/>
        <item x="16"/>
        <item x="11"/>
        <item x="15"/>
        <item x="22"/>
        <item x="4"/>
        <item x="8"/>
        <item x="25"/>
        <item x="32"/>
        <item x="5"/>
        <item x="35"/>
        <item x="36"/>
        <item t="default"/>
      </items>
    </pivotField>
    <pivotField compact="0" showAll="0">
      <items count="11">
        <item x="3"/>
        <item x="5"/>
        <item x="2"/>
        <item x="8"/>
        <item x="7"/>
        <item x="4"/>
        <item x="1"/>
        <item x="6"/>
        <item x="0"/>
        <item x="9"/>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3">
        <item x="0"/>
        <item x="1"/>
        <item t="default"/>
      </items>
    </pivotField>
    <pivotField compact="0" showAll="0">
      <items count="6">
        <item x="2"/>
        <item x="0"/>
        <item x="3"/>
        <item x="4"/>
        <item x="1"/>
        <item t="default"/>
      </items>
    </pivotField>
    <pivotField compact="0" showAll="0">
      <items count="2">
        <item x="0"/>
        <item t="default"/>
      </items>
    </pivotField>
    <pivotField compact="0" showAll="0">
      <items count="81">
        <item x="43"/>
        <item x="58"/>
        <item x="2"/>
        <item x="15"/>
        <item x="29"/>
        <item x="1"/>
        <item x="74"/>
        <item x="75"/>
        <item x="68"/>
        <item x="77"/>
        <item x="61"/>
        <item x="37"/>
        <item x="4"/>
        <item x="31"/>
        <item x="13"/>
        <item x="19"/>
        <item x="53"/>
        <item x="45"/>
        <item x="17"/>
        <item x="3"/>
        <item x="65"/>
        <item x="79"/>
        <item x="57"/>
        <item x="69"/>
        <item x="34"/>
        <item x="10"/>
        <item x="33"/>
        <item x="56"/>
        <item x="38"/>
        <item x="18"/>
        <item x="51"/>
        <item x="78"/>
        <item x="48"/>
        <item x="23"/>
        <item x="71"/>
        <item x="0"/>
        <item x="20"/>
        <item x="42"/>
        <item x="28"/>
        <item x="21"/>
        <item x="41"/>
        <item x="12"/>
        <item x="39"/>
        <item x="30"/>
        <item x="32"/>
        <item x="50"/>
        <item x="54"/>
        <item x="8"/>
        <item x="60"/>
        <item x="16"/>
        <item x="64"/>
        <item x="52"/>
        <item x="11"/>
        <item x="67"/>
        <item x="26"/>
        <item x="47"/>
        <item x="62"/>
        <item x="36"/>
        <item x="49"/>
        <item x="46"/>
        <item x="9"/>
        <item x="63"/>
        <item x="59"/>
        <item x="72"/>
        <item x="55"/>
        <item x="73"/>
        <item x="70"/>
        <item x="22"/>
        <item x="24"/>
        <item x="40"/>
        <item x="7"/>
        <item x="25"/>
        <item x="5"/>
        <item x="27"/>
        <item x="44"/>
        <item x="35"/>
        <item x="14"/>
        <item x="66"/>
        <item x="76"/>
        <item x="6"/>
        <item t="default"/>
      </items>
    </pivotField>
    <pivotField compact="0" showAll="0">
      <items count="76">
        <item x="9"/>
        <item x="63"/>
        <item x="36"/>
        <item x="73"/>
        <item x="40"/>
        <item x="22"/>
        <item x="67"/>
        <item x="29"/>
        <item x="45"/>
        <item x="28"/>
        <item x="46"/>
        <item x="7"/>
        <item x="1"/>
        <item x="0"/>
        <item x="64"/>
        <item x="16"/>
        <item x="4"/>
        <item x="19"/>
        <item x="18"/>
        <item x="44"/>
        <item x="42"/>
        <item x="49"/>
        <item x="11"/>
        <item x="30"/>
        <item x="39"/>
        <item x="2"/>
        <item x="60"/>
        <item x="33"/>
        <item x="68"/>
        <item x="41"/>
        <item x="34"/>
        <item x="32"/>
        <item x="25"/>
        <item x="13"/>
        <item x="59"/>
        <item x="43"/>
        <item x="17"/>
        <item x="38"/>
        <item x="70"/>
        <item x="31"/>
        <item x="57"/>
        <item x="71"/>
        <item x="48"/>
        <item x="21"/>
        <item x="37"/>
        <item x="8"/>
        <item x="69"/>
        <item x="47"/>
        <item x="51"/>
        <item x="62"/>
        <item x="20"/>
        <item x="15"/>
        <item x="65"/>
        <item x="56"/>
        <item x="50"/>
        <item x="23"/>
        <item x="52"/>
        <item x="26"/>
        <item x="35"/>
        <item x="66"/>
        <item x="61"/>
        <item x="53"/>
        <item x="55"/>
        <item x="3"/>
        <item x="54"/>
        <item x="12"/>
        <item x="24"/>
        <item x="14"/>
        <item x="58"/>
        <item x="10"/>
        <item x="74"/>
        <item x="72"/>
        <item x="5"/>
        <item x="27"/>
        <item x="6"/>
        <item t="default"/>
      </items>
    </pivotField>
    <pivotField compact="0" showAll="0">
      <items count="60">
        <item x="7"/>
        <item x="29"/>
        <item x="28"/>
        <item x="37"/>
        <item x="4"/>
        <item x="0"/>
        <item x="39"/>
        <item x="43"/>
        <item x="55"/>
        <item x="57"/>
        <item x="38"/>
        <item x="15"/>
        <item x="16"/>
        <item x="2"/>
        <item x="41"/>
        <item x="1"/>
        <item x="40"/>
        <item x="35"/>
        <item x="13"/>
        <item x="8"/>
        <item x="42"/>
        <item x="19"/>
        <item x="17"/>
        <item x="56"/>
        <item x="36"/>
        <item x="54"/>
        <item x="44"/>
        <item x="30"/>
        <item x="9"/>
        <item x="18"/>
        <item x="52"/>
        <item x="33"/>
        <item x="51"/>
        <item x="45"/>
        <item x="31"/>
        <item x="32"/>
        <item x="20"/>
        <item x="46"/>
        <item x="21"/>
        <item x="50"/>
        <item x="22"/>
        <item x="49"/>
        <item x="47"/>
        <item x="3"/>
        <item x="48"/>
        <item x="34"/>
        <item x="25"/>
        <item x="14"/>
        <item x="10"/>
        <item x="24"/>
        <item x="23"/>
        <item x="11"/>
        <item x="12"/>
        <item x="58"/>
        <item x="26"/>
        <item x="27"/>
        <item x="53"/>
        <item x="5"/>
        <item x="6"/>
        <item t="default"/>
      </items>
    </pivotField>
    <pivotField compact="0" showAll="0">
      <items count="60">
        <item x="22"/>
        <item x="35"/>
        <item x="49"/>
        <item x="14"/>
        <item x="9"/>
        <item x="43"/>
        <item x="27"/>
        <item x="4"/>
        <item x="2"/>
        <item x="50"/>
        <item x="17"/>
        <item x="11"/>
        <item x="23"/>
        <item x="18"/>
        <item x="16"/>
        <item x="39"/>
        <item x="41"/>
        <item x="32"/>
        <item x="28"/>
        <item x="34"/>
        <item x="33"/>
        <item x="47"/>
        <item x="29"/>
        <item x="45"/>
        <item x="57"/>
        <item x="12"/>
        <item x="7"/>
        <item x="30"/>
        <item x="25"/>
        <item x="37"/>
        <item x="56"/>
        <item x="8"/>
        <item x="13"/>
        <item x="40"/>
        <item x="19"/>
        <item x="42"/>
        <item x="24"/>
        <item x="51"/>
        <item x="36"/>
        <item x="38"/>
        <item x="44"/>
        <item x="1"/>
        <item x="58"/>
        <item x="48"/>
        <item x="31"/>
        <item x="0"/>
        <item x="54"/>
        <item x="26"/>
        <item x="3"/>
        <item x="55"/>
        <item x="20"/>
        <item x="6"/>
        <item x="21"/>
        <item x="15"/>
        <item x="52"/>
        <item x="53"/>
        <item x="46"/>
        <item x="10"/>
        <item x="5"/>
        <item t="default"/>
      </items>
    </pivotField>
    <pivotField compact="0" showAll="0">
      <items count="2">
        <item x="0"/>
        <item t="default"/>
      </items>
    </pivotField>
    <pivotField compact="0" showAll="0">
      <items count="25">
        <item x="16"/>
        <item x="22"/>
        <item x="14"/>
        <item x="6"/>
        <item x="15"/>
        <item x="3"/>
        <item x="9"/>
        <item x="12"/>
        <item x="2"/>
        <item x="18"/>
        <item x="20"/>
        <item x="8"/>
        <item x="4"/>
        <item x="5"/>
        <item x="1"/>
        <item x="13"/>
        <item x="7"/>
        <item x="23"/>
        <item x="21"/>
        <item x="19"/>
        <item x="10"/>
        <item x="11"/>
        <item x="17"/>
        <item x="0"/>
        <item t="default"/>
      </items>
    </pivotField>
    <pivotField compact="0" showAll="0">
      <items count="28">
        <item x="14"/>
        <item x="10"/>
        <item x="16"/>
        <item x="4"/>
        <item x="11"/>
        <item x="5"/>
        <item x="2"/>
        <item x="20"/>
        <item x="22"/>
        <item x="6"/>
        <item x="12"/>
        <item x="13"/>
        <item x="26"/>
        <item x="8"/>
        <item x="17"/>
        <item x="18"/>
        <item x="15"/>
        <item x="25"/>
        <item x="21"/>
        <item x="23"/>
        <item x="19"/>
        <item x="9"/>
        <item x="3"/>
        <item x="24"/>
        <item x="1"/>
        <item x="7"/>
        <item x="0"/>
        <item t="default"/>
      </items>
    </pivotField>
    <pivotField compact="0" showAll="0">
      <items count="7">
        <item x="4"/>
        <item x="3"/>
        <item x="0"/>
        <item x="2"/>
        <item x="1"/>
        <item x="5"/>
        <item t="default"/>
      </items>
    </pivotField>
    <pivotField compact="0" showAll="0">
      <items count="59">
        <item x="56"/>
        <item x="44"/>
        <item x="35"/>
        <item x="11"/>
        <item x="53"/>
        <item x="57"/>
        <item x="50"/>
        <item x="52"/>
        <item x="7"/>
        <item x="28"/>
        <item x="19"/>
        <item x="9"/>
        <item x="49"/>
        <item x="48"/>
        <item x="13"/>
        <item x="42"/>
        <item x="2"/>
        <item x="46"/>
        <item x="26"/>
        <item x="37"/>
        <item x="51"/>
        <item x="34"/>
        <item x="15"/>
        <item x="41"/>
        <item x="16"/>
        <item x="24"/>
        <item x="40"/>
        <item x="10"/>
        <item x="25"/>
        <item x="20"/>
        <item x="5"/>
        <item x="29"/>
        <item x="54"/>
        <item x="55"/>
        <item x="4"/>
        <item x="14"/>
        <item x="22"/>
        <item x="0"/>
        <item x="3"/>
        <item x="1"/>
        <item x="18"/>
        <item x="38"/>
        <item x="27"/>
        <item x="39"/>
        <item x="17"/>
        <item x="43"/>
        <item x="31"/>
        <item x="33"/>
        <item x="47"/>
        <item x="36"/>
        <item x="23"/>
        <item x="8"/>
        <item x="45"/>
        <item x="12"/>
        <item x="32"/>
        <item x="30"/>
        <item x="21"/>
        <item x="6"/>
        <item t="default"/>
      </items>
    </pivotField>
    <pivotField compact="0" showAll="0">
      <items count="40">
        <item x="25"/>
        <item x="28"/>
        <item x="17"/>
        <item x="5"/>
        <item x="22"/>
        <item x="34"/>
        <item x="19"/>
        <item x="1"/>
        <item x="21"/>
        <item x="18"/>
        <item x="38"/>
        <item x="0"/>
        <item x="12"/>
        <item x="6"/>
        <item x="20"/>
        <item x="36"/>
        <item x="9"/>
        <item x="37"/>
        <item x="2"/>
        <item x="32"/>
        <item x="24"/>
        <item x="13"/>
        <item x="15"/>
        <item x="29"/>
        <item x="3"/>
        <item x="10"/>
        <item x="8"/>
        <item x="33"/>
        <item x="30"/>
        <item x="31"/>
        <item x="35"/>
        <item x="11"/>
        <item x="16"/>
        <item x="7"/>
        <item x="26"/>
        <item x="27"/>
        <item x="23"/>
        <item x="14"/>
        <item x="4"/>
        <item t="default"/>
      </items>
    </pivotField>
    <pivotField compact="0" showAll="0">
      <items count="41">
        <item x="5"/>
        <item x="6"/>
        <item x="14"/>
        <item x="29"/>
        <item x="26"/>
        <item x="8"/>
        <item x="24"/>
        <item x="11"/>
        <item x="30"/>
        <item x="23"/>
        <item x="34"/>
        <item x="4"/>
        <item x="25"/>
        <item x="31"/>
        <item x="10"/>
        <item x="18"/>
        <item x="15"/>
        <item x="27"/>
        <item x="20"/>
        <item x="17"/>
        <item x="21"/>
        <item x="22"/>
        <item x="35"/>
        <item x="1"/>
        <item x="32"/>
        <item x="2"/>
        <item x="3"/>
        <item x="16"/>
        <item x="7"/>
        <item x="9"/>
        <item x="28"/>
        <item x="37"/>
        <item x="33"/>
        <item x="12"/>
        <item x="19"/>
        <item x="38"/>
        <item x="13"/>
        <item x="36"/>
        <item x="39"/>
        <item x="0"/>
        <item t="default"/>
      </items>
    </pivotField>
    <pivotField compact="0" showAll="0">
      <items count="48">
        <item x="5"/>
        <item x="14"/>
        <item x="31"/>
        <item x="9"/>
        <item x="24"/>
        <item x="32"/>
        <item x="7"/>
        <item x="26"/>
        <item x="23"/>
        <item x="35"/>
        <item x="33"/>
        <item x="29"/>
        <item x="4"/>
        <item x="39"/>
        <item x="25"/>
        <item x="42"/>
        <item x="36"/>
        <item x="27"/>
        <item x="15"/>
        <item x="11"/>
        <item x="16"/>
        <item x="19"/>
        <item x="34"/>
        <item x="28"/>
        <item x="20"/>
        <item x="38"/>
        <item x="18"/>
        <item x="21"/>
        <item x="22"/>
        <item x="41"/>
        <item x="1"/>
        <item x="37"/>
        <item x="2"/>
        <item x="3"/>
        <item x="8"/>
        <item x="17"/>
        <item x="10"/>
        <item x="30"/>
        <item x="44"/>
        <item x="12"/>
        <item x="0"/>
        <item x="40"/>
        <item x="45"/>
        <item x="13"/>
        <item x="43"/>
        <item x="46"/>
        <item x="6"/>
        <item t="default"/>
      </items>
    </pivotField>
    <pivotField compact="0" showAll="0">
      <items count="6">
        <item x="3"/>
        <item x="2"/>
        <item x="4"/>
        <item x="1"/>
        <item x="0"/>
        <item t="default"/>
      </items>
    </pivotField>
    <pivotField compact="0" showAll="0">
      <items count="26">
        <item x="8"/>
        <item x="7"/>
        <item x="10"/>
        <item x="0"/>
        <item x="11"/>
        <item x="12"/>
        <item x="5"/>
        <item x="19"/>
        <item x="15"/>
        <item x="23"/>
        <item x="14"/>
        <item x="16"/>
        <item x="17"/>
        <item x="13"/>
        <item x="18"/>
        <item x="6"/>
        <item x="3"/>
        <item x="22"/>
        <item x="2"/>
        <item x="20"/>
        <item x="24"/>
        <item x="9"/>
        <item x="21"/>
        <item x="4"/>
        <item x="1"/>
        <item t="default"/>
      </items>
    </pivotField>
    <pivotField compact="0" showAll="0">
      <items count="3">
        <item x="1"/>
        <item x="0"/>
        <item t="default"/>
      </items>
    </pivotField>
    <pivotField compact="0" showAll="0">
      <items count="5">
        <item x="2"/>
        <item x="1"/>
        <item x="0"/>
        <item x="3"/>
        <item t="default"/>
      </items>
    </pivotField>
    <pivotField compact="0" showAll="0">
      <items count="97">
        <item x="69"/>
        <item x="87"/>
        <item x="90"/>
        <item x="88"/>
        <item x="12"/>
        <item x="81"/>
        <item x="49"/>
        <item x="86"/>
        <item x="35"/>
        <item x="62"/>
        <item x="63"/>
        <item x="21"/>
        <item x="57"/>
        <item x="48"/>
        <item x="19"/>
        <item x="64"/>
        <item x="34"/>
        <item x="28"/>
        <item x="58"/>
        <item x="24"/>
        <item x="91"/>
        <item x="53"/>
        <item x="44"/>
        <item x="13"/>
        <item x="18"/>
        <item x="50"/>
        <item x="45"/>
        <item x="92"/>
        <item x="52"/>
        <item x="29"/>
        <item x="85"/>
        <item x="38"/>
        <item x="3"/>
        <item x="71"/>
        <item x="72"/>
        <item x="89"/>
        <item x="5"/>
        <item x="55"/>
        <item x="54"/>
        <item x="74"/>
        <item x="10"/>
        <item x="0"/>
        <item x="37"/>
        <item x="30"/>
        <item x="31"/>
        <item x="4"/>
        <item x="51"/>
        <item x="20"/>
        <item x="47"/>
        <item x="16"/>
        <item x="67"/>
        <item x="56"/>
        <item x="27"/>
        <item x="94"/>
        <item x="17"/>
        <item x="11"/>
        <item x="33"/>
        <item x="60"/>
        <item x="42"/>
        <item x="7"/>
        <item x="25"/>
        <item x="75"/>
        <item x="73"/>
        <item x="22"/>
        <item x="26"/>
        <item x="32"/>
        <item x="70"/>
        <item x="80"/>
        <item x="61"/>
        <item x="76"/>
        <item x="93"/>
        <item x="40"/>
        <item x="2"/>
        <item x="46"/>
        <item x="84"/>
        <item x="8"/>
        <item x="78"/>
        <item x="68"/>
        <item x="23"/>
        <item x="36"/>
        <item x="1"/>
        <item x="9"/>
        <item x="43"/>
        <item x="14"/>
        <item x="15"/>
        <item x="65"/>
        <item x="82"/>
        <item x="79"/>
        <item x="41"/>
        <item x="77"/>
        <item x="83"/>
        <item x="6"/>
        <item x="39"/>
        <item x="59"/>
        <item x="66"/>
        <item x="95"/>
        <item t="default"/>
      </items>
    </pivotField>
    <pivotField compact="0" showAll="0">
      <items count="13">
        <item x="3"/>
        <item x="11"/>
        <item x="5"/>
        <item x="0"/>
        <item x="7"/>
        <item x="9"/>
        <item x="4"/>
        <item x="2"/>
        <item x="6"/>
        <item x="10"/>
        <item x="1"/>
        <item x="8"/>
        <item t="default"/>
      </items>
    </pivotField>
    <pivotField compact="0" showAll="0">
      <items count="101">
        <item x="39"/>
        <item x="36"/>
        <item x="77"/>
        <item x="65"/>
        <item x="54"/>
        <item x="33"/>
        <item x="26"/>
        <item x="82"/>
        <item x="12"/>
        <item x="92"/>
        <item x="59"/>
        <item x="75"/>
        <item x="19"/>
        <item x="74"/>
        <item x="72"/>
        <item x="3"/>
        <item x="46"/>
        <item x="68"/>
        <item x="10"/>
        <item x="52"/>
        <item x="58"/>
        <item x="48"/>
        <item x="16"/>
        <item x="30"/>
        <item x="29"/>
        <item x="61"/>
        <item x="84"/>
        <item x="50"/>
        <item x="85"/>
        <item x="34"/>
        <item x="51"/>
        <item x="9"/>
        <item x="35"/>
        <item x="60"/>
        <item x="80"/>
        <item x="49"/>
        <item x="78"/>
        <item x="93"/>
        <item x="95"/>
        <item x="56"/>
        <item x="41"/>
        <item x="31"/>
        <item x="27"/>
        <item x="20"/>
        <item x="21"/>
        <item x="25"/>
        <item x="87"/>
        <item x="81"/>
        <item x="40"/>
        <item x="23"/>
        <item x="96"/>
        <item x="7"/>
        <item x="90"/>
        <item x="15"/>
        <item x="99"/>
        <item x="88"/>
        <item x="37"/>
        <item x="98"/>
        <item x="63"/>
        <item x="53"/>
        <item x="73"/>
        <item x="55"/>
        <item x="5"/>
        <item x="76"/>
        <item x="13"/>
        <item x="28"/>
        <item x="67"/>
        <item x="97"/>
        <item x="79"/>
        <item x="6"/>
        <item x="44"/>
        <item x="45"/>
        <item x="91"/>
        <item x="64"/>
        <item x="70"/>
        <item x="22"/>
        <item x="71"/>
        <item x="11"/>
        <item x="43"/>
        <item x="24"/>
        <item x="66"/>
        <item x="89"/>
        <item x="47"/>
        <item x="4"/>
        <item x="62"/>
        <item x="17"/>
        <item x="14"/>
        <item x="8"/>
        <item x="86"/>
        <item x="83"/>
        <item x="0"/>
        <item x="94"/>
        <item x="18"/>
        <item x="69"/>
        <item x="57"/>
        <item x="2"/>
        <item x="32"/>
        <item x="38"/>
        <item x="1"/>
        <item x="42"/>
        <item t="default"/>
      </items>
    </pivotField>
    <pivotField compact="0" showAll="0">
      <items count="4">
        <item x="0"/>
        <item x="1"/>
        <item x="2"/>
        <item t="default"/>
      </items>
    </pivotField>
    <pivotField compact="0" showAll="0">
      <items count="40">
        <item x="10"/>
        <item x="7"/>
        <item x="38"/>
        <item x="3"/>
        <item x="36"/>
        <item x="34"/>
        <item x="23"/>
        <item x="18"/>
        <item x="20"/>
        <item x="35"/>
        <item x="1"/>
        <item x="12"/>
        <item x="28"/>
        <item x="17"/>
        <item x="21"/>
        <item x="29"/>
        <item x="8"/>
        <item x="33"/>
        <item x="32"/>
        <item x="15"/>
        <item x="31"/>
        <item x="4"/>
        <item x="30"/>
        <item x="19"/>
        <item x="16"/>
        <item x="2"/>
        <item x="22"/>
        <item x="6"/>
        <item x="27"/>
        <item x="13"/>
        <item x="5"/>
        <item x="25"/>
        <item x="9"/>
        <item x="24"/>
        <item x="14"/>
        <item x="0"/>
        <item x="37"/>
        <item x="11"/>
        <item x="26"/>
        <item t="default"/>
      </items>
    </pivotField>
    <pivotField compact="0" showAll="0">
      <items count="18">
        <item x="5"/>
        <item x="15"/>
        <item x="10"/>
        <item x="1"/>
        <item x="3"/>
        <item x="12"/>
        <item x="2"/>
        <item x="0"/>
        <item x="8"/>
        <item x="9"/>
        <item x="11"/>
        <item x="14"/>
        <item x="16"/>
        <item x="6"/>
        <item x="13"/>
        <item x="7"/>
        <item x="4"/>
        <item t="default"/>
      </items>
    </pivotField>
    <pivotField compact="0" showAll="0">
      <items count="102">
        <item x="39"/>
        <item x="36"/>
        <item x="34"/>
        <item x="65"/>
        <item x="33"/>
        <item x="66"/>
        <item x="26"/>
        <item x="12"/>
        <item x="92"/>
        <item x="59"/>
        <item x="75"/>
        <item x="19"/>
        <item x="74"/>
        <item x="72"/>
        <item x="3"/>
        <item x="46"/>
        <item x="68"/>
        <item x="48"/>
        <item x="30"/>
        <item x="2"/>
        <item x="16"/>
        <item x="29"/>
        <item x="61"/>
        <item x="84"/>
        <item x="50"/>
        <item x="51"/>
        <item x="9"/>
        <item x="35"/>
        <item x="60"/>
        <item x="70"/>
        <item x="25"/>
        <item x="80"/>
        <item x="78"/>
        <item x="49"/>
        <item x="93"/>
        <item x="89"/>
        <item x="31"/>
        <item x="41"/>
        <item x="95"/>
        <item x="56"/>
        <item x="27"/>
        <item x="77"/>
        <item x="20"/>
        <item x="21"/>
        <item x="87"/>
        <item x="52"/>
        <item x="57"/>
        <item x="81"/>
        <item x="82"/>
        <item x="23"/>
        <item x="40"/>
        <item x="58"/>
        <item x="54"/>
        <item x="96"/>
        <item x="67"/>
        <item x="7"/>
        <item x="90"/>
        <item x="15"/>
        <item x="99"/>
        <item x="88"/>
        <item x="37"/>
        <item x="98"/>
        <item x="63"/>
        <item x="53"/>
        <item x="73"/>
        <item x="85"/>
        <item x="55"/>
        <item x="76"/>
        <item x="13"/>
        <item x="5"/>
        <item x="18"/>
        <item x="28"/>
        <item x="97"/>
        <item x="79"/>
        <item x="6"/>
        <item x="44"/>
        <item x="45"/>
        <item x="91"/>
        <item x="64"/>
        <item x="11"/>
        <item x="71"/>
        <item x="43"/>
        <item x="24"/>
        <item x="17"/>
        <item x="0"/>
        <item x="47"/>
        <item x="4"/>
        <item x="62"/>
        <item x="10"/>
        <item x="14"/>
        <item x="8"/>
        <item x="86"/>
        <item x="83"/>
        <item x="42"/>
        <item x="94"/>
        <item x="69"/>
        <item x="22"/>
        <item x="32"/>
        <item x="38"/>
        <item x="1"/>
        <item x="100"/>
        <item t="default"/>
      </items>
    </pivotField>
    <pivotField compact="0" showAll="0">
      <items count="20">
        <item x="2"/>
        <item x="0"/>
        <item x="9"/>
        <item x="14"/>
        <item x="4"/>
        <item x="6"/>
        <item x="3"/>
        <item x="12"/>
        <item x="1"/>
        <item x="8"/>
        <item x="15"/>
        <item x="10"/>
        <item x="11"/>
        <item x="13"/>
        <item x="7"/>
        <item x="5"/>
        <item x="17"/>
        <item x="16"/>
        <item x="18"/>
        <item t="default"/>
      </items>
    </pivotField>
    <pivotField compact="0" showAll="0">
      <items count="102">
        <item x="49"/>
        <item x="40"/>
        <item x="55"/>
        <item x="74"/>
        <item x="8"/>
        <item x="3"/>
        <item x="19"/>
        <item x="21"/>
        <item x="62"/>
        <item x="46"/>
        <item x="29"/>
        <item x="77"/>
        <item x="24"/>
        <item x="15"/>
        <item x="0"/>
        <item x="78"/>
        <item x="18"/>
        <item x="44"/>
        <item x="93"/>
        <item x="59"/>
        <item x="89"/>
        <item x="47"/>
        <item x="33"/>
        <item x="9"/>
        <item x="68"/>
        <item x="48"/>
        <item x="41"/>
        <item x="65"/>
        <item x="76"/>
        <item x="31"/>
        <item x="75"/>
        <item x="63"/>
        <item x="25"/>
        <item x="92"/>
        <item x="56"/>
        <item x="71"/>
        <item x="83"/>
        <item x="81"/>
        <item x="84"/>
        <item x="7"/>
        <item x="36"/>
        <item x="97"/>
        <item x="85"/>
        <item x="26"/>
        <item x="57"/>
        <item x="98"/>
        <item x="72"/>
        <item x="90"/>
        <item x="17"/>
        <item x="1"/>
        <item x="91"/>
        <item x="30"/>
        <item x="6"/>
        <item x="64"/>
        <item x="13"/>
        <item x="51"/>
        <item x="20"/>
        <item x="50"/>
        <item x="82"/>
        <item x="35"/>
        <item x="60"/>
        <item x="86"/>
        <item x="5"/>
        <item x="37"/>
        <item x="45"/>
        <item x="96"/>
        <item x="99"/>
        <item x="87"/>
        <item x="67"/>
        <item x="12"/>
        <item x="39"/>
        <item x="2"/>
        <item x="38"/>
        <item x="32"/>
        <item x="88"/>
        <item x="42"/>
        <item x="69"/>
        <item x="53"/>
        <item x="54"/>
        <item x="4"/>
        <item x="34"/>
        <item x="16"/>
        <item x="58"/>
        <item x="11"/>
        <item x="94"/>
        <item x="22"/>
        <item x="28"/>
        <item x="73"/>
        <item x="23"/>
        <item x="14"/>
        <item x="79"/>
        <item x="80"/>
        <item x="27"/>
        <item x="70"/>
        <item x="10"/>
        <item x="95"/>
        <item x="43"/>
        <item x="66"/>
        <item x="61"/>
        <item x="52"/>
        <item x="100"/>
        <item t="default"/>
      </items>
    </pivotField>
    <pivotField compact="0" showAll="0">
      <items count="58">
        <item x="27"/>
        <item x="0"/>
        <item x="1"/>
        <item x="14"/>
        <item x="15"/>
        <item x="29"/>
        <item x="16"/>
        <item x="30"/>
        <item x="12"/>
        <item x="10"/>
        <item x="52"/>
        <item x="18"/>
        <item x="44"/>
        <item x="42"/>
        <item x="28"/>
        <item x="40"/>
        <item x="19"/>
        <item x="8"/>
        <item x="26"/>
        <item x="33"/>
        <item x="37"/>
        <item x="23"/>
        <item x="34"/>
        <item x="35"/>
        <item x="20"/>
        <item x="24"/>
        <item x="7"/>
        <item x="39"/>
        <item x="36"/>
        <item x="9"/>
        <item x="17"/>
        <item x="22"/>
        <item x="3"/>
        <item x="6"/>
        <item x="11"/>
        <item x="13"/>
        <item x="41"/>
        <item x="2"/>
        <item x="21"/>
        <item x="38"/>
        <item x="51"/>
        <item x="5"/>
        <item x="43"/>
        <item x="25"/>
        <item x="46"/>
        <item x="4"/>
        <item x="31"/>
        <item x="45"/>
        <item x="32"/>
        <item x="49"/>
        <item x="50"/>
        <item x="47"/>
        <item x="48"/>
        <item x="53"/>
        <item x="54"/>
        <item x="55"/>
        <item x="56"/>
        <item t="default"/>
      </items>
    </pivotField>
    <pivotField compact="0" showAll="0">
      <items count="9">
        <item x="3"/>
        <item x="5"/>
        <item x="2"/>
        <item x="7"/>
        <item x="1"/>
        <item x="0"/>
        <item x="6"/>
        <item x="4"/>
        <item t="default"/>
      </items>
    </pivotField>
    <pivotField compact="0" showAll="0">
      <items count="75">
        <item x="3"/>
        <item x="0"/>
        <item x="28"/>
        <item x="54"/>
        <item x="29"/>
        <item x="16"/>
        <item x="37"/>
        <item x="53"/>
        <item x="38"/>
        <item x="7"/>
        <item x="1"/>
        <item x="12"/>
        <item x="17"/>
        <item x="5"/>
        <item x="39"/>
        <item x="40"/>
        <item x="18"/>
        <item x="36"/>
        <item x="20"/>
        <item x="8"/>
        <item x="41"/>
        <item x="55"/>
        <item x="42"/>
        <item x="19"/>
        <item x="44"/>
        <item x="30"/>
        <item x="45"/>
        <item x="31"/>
        <item x="43"/>
        <item x="21"/>
        <item x="56"/>
        <item x="46"/>
        <item x="57"/>
        <item x="32"/>
        <item x="33"/>
        <item x="13"/>
        <item x="2"/>
        <item x="47"/>
        <item x="34"/>
        <item x="22"/>
        <item x="9"/>
        <item x="48"/>
        <item x="23"/>
        <item x="24"/>
        <item x="25"/>
        <item x="49"/>
        <item x="10"/>
        <item x="50"/>
        <item x="35"/>
        <item x="51"/>
        <item x="26"/>
        <item x="11"/>
        <item x="58"/>
        <item x="59"/>
        <item x="4"/>
        <item x="27"/>
        <item x="52"/>
        <item x="14"/>
        <item x="15"/>
        <item x="61"/>
        <item x="62"/>
        <item x="60"/>
        <item x="64"/>
        <item x="6"/>
        <item x="67"/>
        <item x="63"/>
        <item x="68"/>
        <item x="65"/>
        <item x="66"/>
        <item x="69"/>
        <item x="70"/>
        <item x="71"/>
        <item x="72"/>
        <item x="73"/>
        <item t="default"/>
      </items>
    </pivotField>
    <pivotField compact="0" showAll="0">
      <items count="56">
        <item x="47"/>
        <item x="13"/>
        <item x="22"/>
        <item x="32"/>
        <item x="35"/>
        <item x="49"/>
        <item x="33"/>
        <item x="20"/>
        <item x="34"/>
        <item x="23"/>
        <item x="8"/>
        <item x="37"/>
        <item x="26"/>
        <item x="1"/>
        <item x="18"/>
        <item x="21"/>
        <item x="10"/>
        <item x="7"/>
        <item x="15"/>
        <item x="4"/>
        <item x="12"/>
        <item x="2"/>
        <item x="16"/>
        <item x="36"/>
        <item x="19"/>
        <item x="27"/>
        <item x="42"/>
        <item x="40"/>
        <item x="0"/>
        <item x="38"/>
        <item x="25"/>
        <item x="9"/>
        <item x="6"/>
        <item x="41"/>
        <item x="24"/>
        <item x="44"/>
        <item x="5"/>
        <item x="30"/>
        <item x="31"/>
        <item x="43"/>
        <item x="48"/>
        <item x="45"/>
        <item x="46"/>
        <item x="14"/>
        <item x="51"/>
        <item x="52"/>
        <item x="11"/>
        <item x="53"/>
        <item x="50"/>
        <item x="28"/>
        <item x="17"/>
        <item x="29"/>
        <item x="3"/>
        <item x="39"/>
        <item x="54"/>
        <item t="default"/>
      </items>
    </pivotField>
    <pivotField compact="0" showAll="0">
      <items count="11">
        <item x="4"/>
        <item x="6"/>
        <item x="3"/>
        <item x="1"/>
        <item x="8"/>
        <item x="2"/>
        <item x="7"/>
        <item x="5"/>
        <item x="0"/>
        <item x="9"/>
        <item t="default"/>
      </items>
    </pivotField>
    <pivotField compact="0" showAll="0">
      <items count="11">
        <item x="5"/>
        <item x="4"/>
        <item x="2"/>
        <item x="6"/>
        <item x="9"/>
        <item x="8"/>
        <item x="3"/>
        <item x="7"/>
        <item x="1"/>
        <item x="0"/>
        <item t="default"/>
      </items>
    </pivotField>
    <pivotField compact="0" showAll="0">
      <items count="2">
        <item x="0"/>
        <item t="default"/>
      </items>
    </pivotField>
    <pivotField compact="0" showAll="0">
      <items count="4">
        <item x="1"/>
        <item x="2"/>
        <item x="0"/>
        <item t="default"/>
      </items>
    </pivotField>
    <pivotField compact="0" showAll="0">
      <items count="4">
        <item x="1"/>
        <item x="2"/>
        <item x="0"/>
        <item t="default"/>
      </items>
    </pivotField>
    <pivotField compact="0" showAll="0">
      <items count="3">
        <item x="1"/>
        <item x="0"/>
        <item t="default"/>
      </items>
    </pivotField>
    <pivotField compact="0" showAll="0">
      <items count="72">
        <item x="64"/>
        <item x="68"/>
        <item x="24"/>
        <item x="61"/>
        <item x="45"/>
        <item x="4"/>
        <item x="34"/>
        <item x="17"/>
        <item x="9"/>
        <item x="26"/>
        <item x="2"/>
        <item x="54"/>
        <item x="36"/>
        <item x="1"/>
        <item x="19"/>
        <item x="52"/>
        <item x="59"/>
        <item x="32"/>
        <item x="56"/>
        <item x="69"/>
        <item x="6"/>
        <item x="39"/>
        <item x="67"/>
        <item x="63"/>
        <item x="57"/>
        <item x="18"/>
        <item x="58"/>
        <item x="27"/>
        <item x="65"/>
        <item x="62"/>
        <item x="48"/>
        <item x="3"/>
        <item x="70"/>
        <item x="8"/>
        <item x="10"/>
        <item x="53"/>
        <item x="21"/>
        <item x="25"/>
        <item x="60"/>
        <item x="46"/>
        <item x="31"/>
        <item x="0"/>
        <item x="30"/>
        <item x="35"/>
        <item x="43"/>
        <item x="37"/>
        <item x="28"/>
        <item x="7"/>
        <item x="14"/>
        <item x="12"/>
        <item x="15"/>
        <item x="22"/>
        <item x="23"/>
        <item x="66"/>
        <item x="42"/>
        <item x="49"/>
        <item x="29"/>
        <item x="16"/>
        <item x="33"/>
        <item x="51"/>
        <item x="13"/>
        <item x="50"/>
        <item x="41"/>
        <item x="44"/>
        <item x="40"/>
        <item x="11"/>
        <item x="55"/>
        <item x="20"/>
        <item x="47"/>
        <item x="38"/>
        <item x="5"/>
        <item t="default"/>
      </items>
    </pivotField>
    <pivotField compact="0" showAll="0">
      <items count="2">
        <item x="0"/>
        <item t="default"/>
      </items>
    </pivotField>
    <pivotField compact="0" showAll="0">
      <items count="7">
        <item x="1"/>
        <item x="3"/>
        <item x="5"/>
        <item x="4"/>
        <item x="2"/>
        <item x="0"/>
        <item t="default"/>
      </items>
    </pivotField>
    <pivotField compact="0" showAll="0">
      <items count="3">
        <item x="1"/>
        <item x="0"/>
        <item t="default"/>
      </items>
    </pivotField>
    <pivotField compact="0" showAll="0">
      <items count="102">
        <item x="86"/>
        <item x="16"/>
        <item x="42"/>
        <item x="88"/>
        <item x="45"/>
        <item x="37"/>
        <item x="17"/>
        <item x="33"/>
        <item x="4"/>
        <item x="39"/>
        <item x="9"/>
        <item x="81"/>
        <item x="23"/>
        <item x="48"/>
        <item x="13"/>
        <item x="46"/>
        <item x="52"/>
        <item x="26"/>
        <item x="77"/>
        <item x="31"/>
        <item x="1"/>
        <item x="80"/>
        <item x="2"/>
        <item x="6"/>
        <item x="15"/>
        <item x="87"/>
        <item x="65"/>
        <item x="14"/>
        <item x="11"/>
        <item x="0"/>
        <item x="49"/>
        <item x="35"/>
        <item x="34"/>
        <item x="24"/>
        <item x="83"/>
        <item x="71"/>
        <item x="28"/>
        <item x="51"/>
        <item x="19"/>
        <item x="20"/>
        <item x="50"/>
        <item x="21"/>
        <item x="54"/>
        <item x="36"/>
        <item x="56"/>
        <item x="73"/>
        <item x="47"/>
        <item x="5"/>
        <item x="38"/>
        <item x="59"/>
        <item x="7"/>
        <item x="30"/>
        <item x="91"/>
        <item x="60"/>
        <item x="53"/>
        <item x="3"/>
        <item x="61"/>
        <item x="10"/>
        <item x="55"/>
        <item x="57"/>
        <item x="85"/>
        <item x="22"/>
        <item x="79"/>
        <item x="96"/>
        <item x="29"/>
        <item x="66"/>
        <item x="8"/>
        <item x="69"/>
        <item x="63"/>
        <item x="70"/>
        <item x="97"/>
        <item x="12"/>
        <item x="98"/>
        <item x="78"/>
        <item x="82"/>
        <item x="76"/>
        <item x="43"/>
        <item x="75"/>
        <item x="72"/>
        <item x="18"/>
        <item x="44"/>
        <item x="25"/>
        <item x="62"/>
        <item x="27"/>
        <item x="67"/>
        <item x="68"/>
        <item x="41"/>
        <item x="32"/>
        <item x="84"/>
        <item x="58"/>
        <item x="93"/>
        <item x="92"/>
        <item x="90"/>
        <item x="89"/>
        <item x="94"/>
        <item x="95"/>
        <item x="99"/>
        <item x="40"/>
        <item x="64"/>
        <item x="74"/>
        <item x="100"/>
        <item t="default"/>
      </items>
    </pivotField>
    <pivotField compact="0" showAll="0">
      <items count="3">
        <item x="0"/>
        <item x="1"/>
        <item t="default"/>
      </items>
    </pivotField>
    <pivotField compact="0" showAll="0">
      <items count="3">
        <item x="0"/>
        <item x="1"/>
        <item t="default"/>
      </items>
    </pivotField>
    <pivotField compact="0" showAll="0">
      <items count="58">
        <item x="3"/>
        <item x="22"/>
        <item x="0"/>
        <item x="21"/>
        <item x="43"/>
        <item x="31"/>
        <item x="29"/>
        <item x="11"/>
        <item x="49"/>
        <item x="30"/>
        <item x="6"/>
        <item x="1"/>
        <item x="12"/>
        <item x="13"/>
        <item x="15"/>
        <item x="44"/>
        <item x="9"/>
        <item x="45"/>
        <item x="36"/>
        <item x="46"/>
        <item x="32"/>
        <item x="14"/>
        <item x="34"/>
        <item x="16"/>
        <item x="23"/>
        <item x="35"/>
        <item x="25"/>
        <item x="27"/>
        <item x="26"/>
        <item x="24"/>
        <item x="2"/>
        <item x="37"/>
        <item x="17"/>
        <item x="18"/>
        <item x="41"/>
        <item x="33"/>
        <item x="39"/>
        <item x="7"/>
        <item x="38"/>
        <item x="8"/>
        <item x="48"/>
        <item x="28"/>
        <item x="40"/>
        <item x="19"/>
        <item x="42"/>
        <item x="47"/>
        <item x="20"/>
        <item x="51"/>
        <item x="55"/>
        <item x="10"/>
        <item x="50"/>
        <item x="56"/>
        <item x="53"/>
        <item x="52"/>
        <item x="54"/>
        <item x="5"/>
        <item x="4"/>
        <item t="default"/>
      </items>
    </pivotField>
    <pivotField compact="0" showAll="0">
      <items count="49">
        <item x="19"/>
        <item x="32"/>
        <item x="17"/>
        <item x="14"/>
        <item x="16"/>
        <item x="40"/>
        <item x="45"/>
        <item x="41"/>
        <item x="34"/>
        <item x="33"/>
        <item x="47"/>
        <item x="5"/>
        <item x="23"/>
        <item x="42"/>
        <item x="7"/>
        <item x="10"/>
        <item x="9"/>
        <item x="37"/>
        <item x="39"/>
        <item x="1"/>
        <item x="3"/>
        <item x="11"/>
        <item x="29"/>
        <item x="25"/>
        <item x="6"/>
        <item x="18"/>
        <item x="24"/>
        <item x="15"/>
        <item x="35"/>
        <item x="4"/>
        <item x="22"/>
        <item x="26"/>
        <item x="36"/>
        <item x="38"/>
        <item x="28"/>
        <item x="30"/>
        <item x="31"/>
        <item x="21"/>
        <item x="2"/>
        <item x="44"/>
        <item x="13"/>
        <item x="43"/>
        <item x="8"/>
        <item x="20"/>
        <item x="12"/>
        <item x="27"/>
        <item x="46"/>
        <item x="0"/>
        <item t="default"/>
      </items>
    </pivotField>
    <pivotField compact="0" showAll="0">
      <items count="49">
        <item x="16"/>
        <item x="47"/>
        <item x="33"/>
        <item x="17"/>
        <item x="9"/>
        <item x="40"/>
        <item x="1"/>
        <item x="37"/>
        <item x="25"/>
        <item x="15"/>
        <item x="36"/>
        <item x="4"/>
        <item x="45"/>
        <item x="28"/>
        <item x="20"/>
        <item x="19"/>
        <item x="14"/>
        <item x="41"/>
        <item x="46"/>
        <item x="42"/>
        <item x="35"/>
        <item x="34"/>
        <item x="5"/>
        <item x="24"/>
        <item x="7"/>
        <item x="10"/>
        <item x="30"/>
        <item x="13"/>
        <item x="2"/>
        <item x="22"/>
        <item x="26"/>
        <item x="6"/>
        <item x="12"/>
        <item x="44"/>
        <item x="8"/>
        <item x="31"/>
        <item x="29"/>
        <item x="43"/>
        <item x="38"/>
        <item x="23"/>
        <item x="18"/>
        <item x="3"/>
        <item x="11"/>
        <item x="27"/>
        <item x="39"/>
        <item x="32"/>
        <item x="21"/>
        <item x="0"/>
        <item t="default"/>
      </items>
    </pivotField>
    <pivotField compact="0" showAll="0">
      <items count="53">
        <item x="0"/>
        <item x="28"/>
        <item x="26"/>
        <item x="10"/>
        <item x="45"/>
        <item x="27"/>
        <item x="5"/>
        <item x="1"/>
        <item x="11"/>
        <item x="12"/>
        <item x="14"/>
        <item x="40"/>
        <item x="8"/>
        <item x="41"/>
        <item x="33"/>
        <item x="42"/>
        <item x="29"/>
        <item x="13"/>
        <item x="31"/>
        <item x="15"/>
        <item x="20"/>
        <item x="32"/>
        <item x="22"/>
        <item x="24"/>
        <item x="23"/>
        <item x="21"/>
        <item x="2"/>
        <item x="34"/>
        <item x="16"/>
        <item x="17"/>
        <item x="38"/>
        <item x="30"/>
        <item x="36"/>
        <item x="6"/>
        <item x="35"/>
        <item x="7"/>
        <item x="44"/>
        <item x="25"/>
        <item x="37"/>
        <item x="18"/>
        <item x="39"/>
        <item x="43"/>
        <item x="19"/>
        <item x="47"/>
        <item x="4"/>
        <item x="9"/>
        <item x="46"/>
        <item x="51"/>
        <item x="49"/>
        <item x="48"/>
        <item x="50"/>
        <item x="3"/>
        <item t="default"/>
      </items>
    </pivotField>
    <pivotField compact="0" showAll="0">
      <items count="5">
        <item x="1"/>
        <item x="0"/>
        <item x="2"/>
        <item x="3"/>
        <item t="default"/>
      </items>
    </pivotField>
    <pivotField compact="0" showAll="0">
      <items count="19">
        <item x="6"/>
        <item x="1"/>
        <item x="17"/>
        <item x="9"/>
        <item x="8"/>
        <item x="3"/>
        <item x="12"/>
        <item x="10"/>
        <item x="5"/>
        <item x="4"/>
        <item x="2"/>
        <item x="7"/>
        <item x="11"/>
        <item x="13"/>
        <item x="15"/>
        <item x="16"/>
        <item x="14"/>
        <item x="0"/>
        <item t="default"/>
      </items>
    </pivotField>
    <pivotField compact="0" showAll="0">
      <items count="24">
        <item x="19"/>
        <item x="3"/>
        <item x="12"/>
        <item x="14"/>
        <item x="13"/>
        <item x="4"/>
        <item x="5"/>
        <item x="1"/>
        <item x="16"/>
        <item x="8"/>
        <item x="0"/>
        <item x="2"/>
        <item x="18"/>
        <item x="20"/>
        <item x="21"/>
        <item x="17"/>
        <item x="7"/>
        <item x="9"/>
        <item x="10"/>
        <item x="11"/>
        <item x="15"/>
        <item x="6"/>
        <item x="22"/>
        <item t="default"/>
      </items>
    </pivotField>
    <pivotField compact="0" showAll="0">
      <items count="2">
        <item x="0"/>
        <item t="default"/>
      </items>
    </pivotField>
    <pivotField compact="0" showAll="0">
      <items count="2">
        <item x="0"/>
        <item t="default"/>
      </items>
    </pivotField>
    <pivotField compact="0" showAll="0">
      <items count="68">
        <item x="63"/>
        <item x="65"/>
        <item x="66"/>
        <item x="64"/>
        <item x="6"/>
        <item x="62"/>
        <item x="3"/>
        <item x="0"/>
        <item x="27"/>
        <item x="52"/>
        <item x="28"/>
        <item x="16"/>
        <item x="36"/>
        <item x="51"/>
        <item x="37"/>
        <item x="7"/>
        <item x="1"/>
        <item x="12"/>
        <item x="17"/>
        <item x="5"/>
        <item x="38"/>
        <item x="39"/>
        <item x="18"/>
        <item x="35"/>
        <item x="20"/>
        <item x="8"/>
        <item x="40"/>
        <item x="53"/>
        <item x="41"/>
        <item x="19"/>
        <item x="29"/>
        <item x="30"/>
        <item x="42"/>
        <item x="21"/>
        <item x="43"/>
        <item x="54"/>
        <item x="44"/>
        <item x="55"/>
        <item x="31"/>
        <item x="32"/>
        <item x="13"/>
        <item x="2"/>
        <item x="45"/>
        <item x="33"/>
        <item x="22"/>
        <item x="46"/>
        <item x="9"/>
        <item x="47"/>
        <item x="23"/>
        <item x="24"/>
        <item x="48"/>
        <item x="10"/>
        <item x="34"/>
        <item x="49"/>
        <item x="25"/>
        <item x="11"/>
        <item x="4"/>
        <item x="26"/>
        <item x="50"/>
        <item x="56"/>
        <item x="59"/>
        <item x="57"/>
        <item x="60"/>
        <item x="14"/>
        <item x="15"/>
        <item x="61"/>
        <item x="58"/>
        <item t="default"/>
      </items>
    </pivotField>
    <pivotField compact="0" showAll="0">
      <items count="37">
        <item x="5"/>
        <item x="32"/>
        <item x="25"/>
        <item x="8"/>
        <item x="4"/>
        <item x="22"/>
        <item x="15"/>
        <item x="11"/>
        <item x="16"/>
        <item x="24"/>
        <item x="19"/>
        <item x="3"/>
        <item x="6"/>
        <item x="26"/>
        <item x="0"/>
        <item x="10"/>
        <item x="7"/>
        <item x="17"/>
        <item x="21"/>
        <item x="28"/>
        <item x="29"/>
        <item x="13"/>
        <item x="9"/>
        <item x="18"/>
        <item x="1"/>
        <item x="30"/>
        <item x="12"/>
        <item x="2"/>
        <item x="23"/>
        <item x="34"/>
        <item x="27"/>
        <item x="31"/>
        <item x="20"/>
        <item x="14"/>
        <item x="33"/>
        <item x="35"/>
        <item t="default"/>
      </items>
    </pivotField>
    <pivotField compact="0" showAll="0">
      <items count="14">
        <item x="0"/>
        <item x="10"/>
        <item x="4"/>
        <item x="11"/>
        <item x="8"/>
        <item x="3"/>
        <item x="7"/>
        <item x="6"/>
        <item x="9"/>
        <item x="1"/>
        <item x="2"/>
        <item x="5"/>
        <item x="12"/>
        <item t="default"/>
      </items>
    </pivotField>
    <pivotField compact="0" showAll="0">
      <items count="31">
        <item x="5"/>
        <item x="0"/>
        <item x="4"/>
        <item x="25"/>
        <item x="11"/>
        <item x="3"/>
        <item x="20"/>
        <item x="7"/>
        <item x="26"/>
        <item x="22"/>
        <item x="16"/>
        <item x="27"/>
        <item x="15"/>
        <item x="6"/>
        <item x="17"/>
        <item x="12"/>
        <item x="8"/>
        <item x="1"/>
        <item x="18"/>
        <item x="24"/>
        <item x="10"/>
        <item x="28"/>
        <item x="14"/>
        <item x="9"/>
        <item x="19"/>
        <item x="23"/>
        <item x="21"/>
        <item x="13"/>
        <item x="2"/>
        <item x="29"/>
        <item t="default"/>
      </items>
    </pivotField>
  </pivotFields>
  <rowFields count="1">
    <field x="7"/>
  </rowFields>
  <rowItems count="4">
    <i>
      <x v="79"/>
    </i>
    <i>
      <x v="80"/>
    </i>
    <i>
      <x v="81"/>
    </i>
    <i t="grand">
      <x/>
    </i>
  </rowItems>
  <colFields count="1">
    <field x="4"/>
  </colFields>
  <colItems count="3">
    <i>
      <x v="4"/>
    </i>
    <i>
      <x v="5"/>
    </i>
    <i t="grand">
      <x/>
    </i>
  </colItems>
  <dataFields count="1">
    <dataField name="计数项:姓名" fld="2"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4"/>
  <sheetViews>
    <sheetView workbookViewId="0">
      <pane xSplit="5" topLeftCell="AW1" activePane="topRight" state="frozen"/>
      <selection/>
      <selection pane="topRight" activeCell="AZ8" sqref="AZ8"/>
    </sheetView>
  </sheetViews>
  <sheetFormatPr defaultColWidth="9" defaultRowHeight="16.8" outlineLevelRow="3"/>
  <cols>
    <col min="1" max="1" width="5.125" style="11" customWidth="1"/>
    <col min="2" max="2" width="11.5" style="11" customWidth="1"/>
    <col min="3" max="3" width="7.75" style="11" customWidth="1"/>
    <col min="4" max="4" width="5" style="11" customWidth="1"/>
    <col min="5" max="5" width="7.875" style="2" customWidth="1"/>
    <col min="6" max="6" width="26.375" style="11" customWidth="1"/>
    <col min="7" max="7" width="9.75" style="105" customWidth="1"/>
    <col min="8" max="8" width="10.75" style="105" customWidth="1"/>
    <col min="9" max="9" width="11.5" style="11" customWidth="1"/>
    <col min="10" max="10" width="19.25" style="11" customWidth="1"/>
    <col min="11" max="11" width="9" style="11" customWidth="1"/>
    <col min="12" max="12" width="25" style="70" customWidth="1"/>
    <col min="13" max="13" width="8.75" style="11" customWidth="1"/>
    <col min="14" max="14" width="27" style="70" customWidth="1"/>
    <col min="15" max="15" width="9" style="11" customWidth="1"/>
    <col min="16" max="16" width="6.125" style="11" customWidth="1"/>
    <col min="17" max="17" width="5.125" style="11" customWidth="1"/>
    <col min="18" max="18" width="5" style="11" customWidth="1"/>
    <col min="19" max="22" width="9" style="11" customWidth="1"/>
    <col min="23" max="23" width="9" style="2" customWidth="1"/>
    <col min="24" max="24" width="9" style="11" customWidth="1"/>
    <col min="25" max="25" width="13.75" style="70" customWidth="1"/>
    <col min="26" max="30" width="9" style="11" customWidth="1"/>
    <col min="31" max="31" width="12.625" style="11" customWidth="1"/>
    <col min="32" max="32" width="9" style="11" customWidth="1"/>
    <col min="33" max="33" width="11.75" style="70" customWidth="1"/>
    <col min="34" max="34" width="11.25" style="11" customWidth="1"/>
    <col min="35" max="37" width="9" style="11" customWidth="1"/>
    <col min="38" max="38" width="16" style="11" customWidth="1"/>
    <col min="39" max="40" width="9" style="11" customWidth="1"/>
    <col min="41" max="41" width="21.625" style="11" customWidth="1"/>
    <col min="42" max="46" width="9" style="11" customWidth="1"/>
    <col min="47" max="47" width="7.625" style="11" customWidth="1"/>
    <col min="48" max="48" width="10.125" style="11" customWidth="1"/>
    <col min="49" max="49" width="11.625" style="11" customWidth="1"/>
    <col min="50" max="50" width="18.75" style="11" customWidth="1"/>
    <col min="51" max="51" width="7.5" style="11" customWidth="1"/>
    <col min="52" max="52" width="9.25" style="11" customWidth="1"/>
    <col min="53" max="53" width="9.125" style="11" customWidth="1"/>
    <col min="54" max="56" width="9" style="11" customWidth="1"/>
    <col min="57" max="57" width="9.5" style="11" customWidth="1"/>
    <col min="58" max="58" width="9" style="11" customWidth="1"/>
    <col min="59" max="59" width="10.375" style="11" customWidth="1"/>
    <col min="60" max="60" width="17.125" style="11" customWidth="1"/>
    <col min="61" max="61" width="10" style="11" customWidth="1"/>
    <col min="62" max="62" width="9.875" style="11" customWidth="1"/>
    <col min="63" max="63" width="9" style="11" customWidth="1"/>
    <col min="64" max="64" width="21.25" style="11" customWidth="1"/>
    <col min="65" max="65" width="10.875" style="11" customWidth="1"/>
    <col min="66" max="67" width="9" style="11" customWidth="1"/>
    <col min="68" max="68" width="8.5" style="11" customWidth="1"/>
    <col min="69" max="69" width="14.375" style="11" customWidth="1"/>
    <col min="70" max="72" width="9" style="11"/>
    <col min="73" max="73" width="10.25" style="11" customWidth="1"/>
    <col min="74" max="75" width="9" style="11"/>
    <col min="76" max="76" width="10.375" style="11"/>
    <col min="77" max="16384" width="9" style="11"/>
  </cols>
  <sheetData>
    <row r="1" ht="26" customHeight="1" spans="2:75">
      <c r="B1" s="12" t="s">
        <v>0</v>
      </c>
      <c r="C1" s="13"/>
      <c r="D1" s="13"/>
      <c r="E1" s="22"/>
      <c r="F1" s="13"/>
      <c r="G1" s="23"/>
      <c r="H1" s="23"/>
      <c r="I1" s="13"/>
      <c r="J1" s="13"/>
      <c r="K1" s="13"/>
      <c r="L1" s="31"/>
      <c r="M1" s="13"/>
      <c r="N1" s="31"/>
      <c r="O1" s="13"/>
      <c r="P1" s="13"/>
      <c r="Q1" s="13"/>
      <c r="R1" s="13"/>
      <c r="S1" s="13"/>
      <c r="T1" s="13"/>
      <c r="U1" s="35"/>
      <c r="V1" s="12" t="s">
        <v>1</v>
      </c>
      <c r="W1" s="22"/>
      <c r="X1" s="35"/>
      <c r="Y1" s="38" t="s">
        <v>2</v>
      </c>
      <c r="Z1" s="13"/>
      <c r="AA1" s="13"/>
      <c r="AB1" s="13"/>
      <c r="AC1" s="13"/>
      <c r="AD1" s="13"/>
      <c r="AE1" s="13"/>
      <c r="AF1" s="12" t="s">
        <v>3</v>
      </c>
      <c r="AG1" s="31"/>
      <c r="AH1" s="13"/>
      <c r="AI1" s="13"/>
      <c r="AJ1" s="13"/>
      <c r="AK1" s="13"/>
      <c r="AL1" s="13"/>
      <c r="AM1" s="35"/>
      <c r="AN1" s="12" t="s">
        <v>4</v>
      </c>
      <c r="AO1" s="13"/>
      <c r="AP1" s="13"/>
      <c r="AQ1" s="13"/>
      <c r="AR1" s="13"/>
      <c r="AS1" s="13"/>
      <c r="AT1" s="13"/>
      <c r="AU1" s="13"/>
      <c r="AV1" s="13"/>
      <c r="AW1" s="13"/>
      <c r="AX1" s="12" t="s">
        <v>5</v>
      </c>
      <c r="AY1" s="13"/>
      <c r="AZ1" s="13"/>
      <c r="BA1" s="13"/>
      <c r="BB1" s="13"/>
      <c r="BC1" s="13"/>
      <c r="BD1" s="13"/>
      <c r="BE1" s="13"/>
      <c r="BF1" s="13"/>
      <c r="BG1" s="13"/>
      <c r="BH1" s="35"/>
      <c r="BI1" s="56" t="s">
        <v>6</v>
      </c>
      <c r="BJ1" s="57"/>
      <c r="BK1" s="57"/>
      <c r="BL1" s="57"/>
      <c r="BM1" s="57"/>
      <c r="BN1" s="57"/>
      <c r="BO1" s="57"/>
      <c r="BP1" s="57"/>
      <c r="BQ1" s="57"/>
      <c r="BR1" s="60"/>
      <c r="BS1" s="61" t="s">
        <v>7</v>
      </c>
      <c r="BT1" s="61"/>
      <c r="BU1" s="61"/>
      <c r="BV1" s="61"/>
      <c r="BW1" s="61"/>
    </row>
    <row r="2" ht="31" customHeight="1" spans="1:76">
      <c r="A2" s="5" t="s">
        <v>8</v>
      </c>
      <c r="B2" s="6" t="s">
        <v>9</v>
      </c>
      <c r="C2" s="6" t="s">
        <v>10</v>
      </c>
      <c r="D2" s="6" t="s">
        <v>11</v>
      </c>
      <c r="E2" s="6" t="s">
        <v>12</v>
      </c>
      <c r="F2" s="6" t="s">
        <v>13</v>
      </c>
      <c r="G2" s="16" t="s">
        <v>14</v>
      </c>
      <c r="H2" s="16" t="s">
        <v>15</v>
      </c>
      <c r="I2" s="6" t="s">
        <v>16</v>
      </c>
      <c r="J2" s="6" t="s">
        <v>17</v>
      </c>
      <c r="K2" s="6" t="s">
        <v>18</v>
      </c>
      <c r="L2" s="26" t="s">
        <v>19</v>
      </c>
      <c r="M2" s="6" t="s">
        <v>20</v>
      </c>
      <c r="N2" s="26" t="s">
        <v>21</v>
      </c>
      <c r="O2" s="6" t="s">
        <v>22</v>
      </c>
      <c r="P2" s="6" t="s">
        <v>23</v>
      </c>
      <c r="Q2" s="6" t="s">
        <v>24</v>
      </c>
      <c r="R2" s="6" t="s">
        <v>25</v>
      </c>
      <c r="S2" s="6" t="s">
        <v>26</v>
      </c>
      <c r="T2" s="6" t="s">
        <v>27</v>
      </c>
      <c r="U2" s="6" t="s">
        <v>28</v>
      </c>
      <c r="V2" s="6" t="s">
        <v>29</v>
      </c>
      <c r="W2" s="6" t="s">
        <v>30</v>
      </c>
      <c r="X2" s="6" t="s">
        <v>31</v>
      </c>
      <c r="Y2" s="36" t="s">
        <v>32</v>
      </c>
      <c r="Z2" s="6" t="s">
        <v>33</v>
      </c>
      <c r="AA2" s="6" t="s">
        <v>34</v>
      </c>
      <c r="AB2" s="6" t="s">
        <v>35</v>
      </c>
      <c r="AC2" s="6" t="s">
        <v>36</v>
      </c>
      <c r="AD2" s="6" t="s">
        <v>37</v>
      </c>
      <c r="AE2" s="6" t="s">
        <v>38</v>
      </c>
      <c r="AF2" s="6" t="s">
        <v>39</v>
      </c>
      <c r="AG2" s="36" t="s">
        <v>40</v>
      </c>
      <c r="AH2" s="6" t="s">
        <v>41</v>
      </c>
      <c r="AI2" s="6" t="s">
        <v>33</v>
      </c>
      <c r="AJ2" s="6" t="s">
        <v>34</v>
      </c>
      <c r="AK2" s="41" t="s">
        <v>42</v>
      </c>
      <c r="AL2" s="36" t="s">
        <v>43</v>
      </c>
      <c r="AM2" s="16" t="s">
        <v>44</v>
      </c>
      <c r="AN2" s="6" t="s">
        <v>45</v>
      </c>
      <c r="AO2" s="6" t="s">
        <v>46</v>
      </c>
      <c r="AP2" s="26" t="s">
        <v>47</v>
      </c>
      <c r="AQ2" s="16" t="s">
        <v>10</v>
      </c>
      <c r="AR2" s="6" t="s">
        <v>11</v>
      </c>
      <c r="AS2" s="41" t="s">
        <v>23</v>
      </c>
      <c r="AT2" s="6" t="s">
        <v>48</v>
      </c>
      <c r="AU2" s="26" t="s">
        <v>49</v>
      </c>
      <c r="AV2" s="41" t="s">
        <v>50</v>
      </c>
      <c r="AW2" s="41" t="s">
        <v>51</v>
      </c>
      <c r="AX2" s="26" t="s">
        <v>52</v>
      </c>
      <c r="AY2" s="26" t="s">
        <v>53</v>
      </c>
      <c r="AZ2" s="6" t="s">
        <v>54</v>
      </c>
      <c r="BA2" s="6" t="s">
        <v>55</v>
      </c>
      <c r="BB2" s="6" t="s">
        <v>56</v>
      </c>
      <c r="BC2" s="6" t="s">
        <v>57</v>
      </c>
      <c r="BD2" s="6" t="s">
        <v>58</v>
      </c>
      <c r="BE2" s="6" t="s">
        <v>59</v>
      </c>
      <c r="BF2" s="26" t="s">
        <v>60</v>
      </c>
      <c r="BG2" s="6" t="s">
        <v>61</v>
      </c>
      <c r="BH2" s="6" t="s">
        <v>62</v>
      </c>
      <c r="BI2" s="26" t="s">
        <v>63</v>
      </c>
      <c r="BJ2" s="26" t="s">
        <v>64</v>
      </c>
      <c r="BK2" s="16" t="s">
        <v>65</v>
      </c>
      <c r="BL2" s="6" t="s">
        <v>66</v>
      </c>
      <c r="BM2" s="6" t="s">
        <v>67</v>
      </c>
      <c r="BN2" s="6" t="s">
        <v>68</v>
      </c>
      <c r="BO2" s="26" t="s">
        <v>69</v>
      </c>
      <c r="BP2" s="6" t="s">
        <v>70</v>
      </c>
      <c r="BQ2" s="26" t="s">
        <v>71</v>
      </c>
      <c r="BR2" s="26" t="s">
        <v>72</v>
      </c>
      <c r="BS2" s="5" t="s">
        <v>73</v>
      </c>
      <c r="BT2" s="5" t="s">
        <v>74</v>
      </c>
      <c r="BU2" s="16" t="s">
        <v>75</v>
      </c>
      <c r="BV2" s="16" t="s">
        <v>76</v>
      </c>
      <c r="BW2" s="16" t="s">
        <v>77</v>
      </c>
      <c r="BX2" s="11" t="s">
        <v>78</v>
      </c>
    </row>
    <row r="3" s="2" customFormat="1" ht="31" customHeight="1" spans="1:76">
      <c r="A3" s="7">
        <v>1</v>
      </c>
      <c r="B3" s="7" t="s">
        <v>79</v>
      </c>
      <c r="C3" s="111" t="s">
        <v>80</v>
      </c>
      <c r="D3" s="8" t="str">
        <f>IF(MOD(MID(J3,17,1),2)=1,"男","女")</f>
        <v>男</v>
      </c>
      <c r="E3" s="9" t="s">
        <v>81</v>
      </c>
      <c r="F3" s="9" t="s">
        <v>82</v>
      </c>
      <c r="G3" s="117" t="s">
        <v>83</v>
      </c>
      <c r="H3" s="18">
        <v>43346</v>
      </c>
      <c r="I3" s="111">
        <v>15872995842</v>
      </c>
      <c r="J3" s="27" t="s">
        <v>84</v>
      </c>
      <c r="K3" s="28" t="s">
        <v>85</v>
      </c>
      <c r="L3" s="28" t="s">
        <v>86</v>
      </c>
      <c r="M3" s="7" t="s">
        <v>87</v>
      </c>
      <c r="N3" s="28" t="s">
        <v>86</v>
      </c>
      <c r="O3" s="32" t="str">
        <f>TEXT(MID(J3,7,8),"0-00-00")</f>
        <v>1995-08-28</v>
      </c>
      <c r="P3" s="34">
        <f ca="1">YEAR(TODAY())-MID(J3,7,4)</f>
        <v>31</v>
      </c>
      <c r="Q3" s="9">
        <f ca="1">IF(K3="","",DATEDIF(H3,TODAY(),"Y"))</f>
        <v>7</v>
      </c>
      <c r="R3" s="28" t="s">
        <v>88</v>
      </c>
      <c r="S3" s="7" t="s">
        <v>89</v>
      </c>
      <c r="T3" s="28" t="s">
        <v>90</v>
      </c>
      <c r="U3" s="7" t="s">
        <v>91</v>
      </c>
      <c r="V3" s="9" t="s">
        <v>92</v>
      </c>
      <c r="W3" s="9"/>
      <c r="X3" s="9"/>
      <c r="Y3" s="37" t="s">
        <v>93</v>
      </c>
      <c r="Z3" s="9">
        <v>2004.4</v>
      </c>
      <c r="AA3" s="9">
        <v>2006.6</v>
      </c>
      <c r="AB3" s="9" t="s">
        <v>94</v>
      </c>
      <c r="AC3" s="9"/>
      <c r="AD3" s="9" t="s">
        <v>95</v>
      </c>
      <c r="AE3" s="9">
        <v>18808690871</v>
      </c>
      <c r="AF3" s="154" t="s">
        <v>96</v>
      </c>
      <c r="AG3" s="40" t="s">
        <v>97</v>
      </c>
      <c r="AH3" s="158"/>
      <c r="AI3" s="9"/>
      <c r="AJ3" s="9"/>
      <c r="AK3" s="7"/>
      <c r="AL3" s="7" t="s">
        <v>98</v>
      </c>
      <c r="AM3" s="47"/>
      <c r="AN3" s="111" t="s">
        <v>99</v>
      </c>
      <c r="AO3" s="28" t="s">
        <v>86</v>
      </c>
      <c r="AP3" s="49" t="s">
        <v>100</v>
      </c>
      <c r="AQ3" s="47" t="s">
        <v>101</v>
      </c>
      <c r="AR3" s="9" t="s">
        <v>102</v>
      </c>
      <c r="AS3" s="7">
        <v>57</v>
      </c>
      <c r="AT3" s="9" t="s">
        <v>103</v>
      </c>
      <c r="AU3" s="7" t="s">
        <v>95</v>
      </c>
      <c r="AV3" s="7" t="s">
        <v>104</v>
      </c>
      <c r="AW3" s="28">
        <v>18808690871</v>
      </c>
      <c r="AX3" s="7" t="s">
        <v>105</v>
      </c>
      <c r="AY3" s="7">
        <v>3</v>
      </c>
      <c r="AZ3" s="50">
        <v>45200</v>
      </c>
      <c r="BA3" s="24">
        <v>46295</v>
      </c>
      <c r="BB3" s="7" t="s">
        <v>106</v>
      </c>
      <c r="BC3" s="52"/>
      <c r="BD3" s="9"/>
      <c r="BE3" s="24"/>
      <c r="BF3" s="49"/>
      <c r="BG3" s="9"/>
      <c r="BH3" s="7" t="s">
        <v>107</v>
      </c>
      <c r="BI3" s="49"/>
      <c r="BJ3" s="49"/>
      <c r="BK3" s="47"/>
      <c r="BL3" s="265" t="s">
        <v>108</v>
      </c>
      <c r="BM3" s="7" t="s">
        <v>109</v>
      </c>
      <c r="BN3" s="49" t="s">
        <v>110</v>
      </c>
      <c r="BO3" s="7">
        <v>2018.12</v>
      </c>
      <c r="BP3" s="58"/>
      <c r="BQ3" s="49"/>
      <c r="BR3" s="7">
        <v>2018.12</v>
      </c>
      <c r="BS3" s="7" t="s">
        <v>111</v>
      </c>
      <c r="BT3" s="7"/>
      <c r="BU3" s="65">
        <v>2024.1</v>
      </c>
      <c r="BV3" s="47"/>
      <c r="BW3" s="47"/>
      <c r="BX3" s="200">
        <v>43436</v>
      </c>
    </row>
    <row r="4" s="102" customFormat="1" ht="27" customHeight="1" spans="1:76">
      <c r="A4" s="9">
        <v>2</v>
      </c>
      <c r="B4" s="9" t="s">
        <v>112</v>
      </c>
      <c r="C4" s="9" t="s">
        <v>113</v>
      </c>
      <c r="D4" s="8" t="str">
        <f>IF(MOD(MID(J4,17,1),2)=1,"男","女")</f>
        <v>女</v>
      </c>
      <c r="E4" s="9" t="s">
        <v>81</v>
      </c>
      <c r="F4" s="9" t="s">
        <v>82</v>
      </c>
      <c r="G4" s="47" t="s">
        <v>114</v>
      </c>
      <c r="H4" s="123">
        <v>45353</v>
      </c>
      <c r="I4" s="9">
        <v>13627155205</v>
      </c>
      <c r="J4" s="266" t="s">
        <v>115</v>
      </c>
      <c r="K4" s="9" t="s">
        <v>116</v>
      </c>
      <c r="L4" s="49" t="s">
        <v>117</v>
      </c>
      <c r="M4" s="9" t="s">
        <v>87</v>
      </c>
      <c r="N4" s="49" t="s">
        <v>118</v>
      </c>
      <c r="O4" s="32" t="str">
        <f>TEXT(MID(J4,7,8),"0-00-00")</f>
        <v>1987-11-21</v>
      </c>
      <c r="P4" s="34">
        <f ca="1">YEAR(TODAY())-MID(J4,7,4)</f>
        <v>39</v>
      </c>
      <c r="Q4" s="9">
        <f ca="1">IF(K4="","",DATEDIF(H4,TODAY(),"Y"))</f>
        <v>2</v>
      </c>
      <c r="R4" s="9" t="s">
        <v>88</v>
      </c>
      <c r="S4" s="7" t="s">
        <v>89</v>
      </c>
      <c r="T4" s="9" t="s">
        <v>90</v>
      </c>
      <c r="U4" s="9" t="s">
        <v>91</v>
      </c>
      <c r="V4" s="9" t="s">
        <v>92</v>
      </c>
      <c r="W4" s="9"/>
      <c r="X4" s="9"/>
      <c r="Y4" s="49" t="s">
        <v>119</v>
      </c>
      <c r="Z4" s="9">
        <v>2022.3</v>
      </c>
      <c r="AA4" s="137" t="s">
        <v>120</v>
      </c>
      <c r="AB4" s="9" t="s">
        <v>121</v>
      </c>
      <c r="AC4" s="9"/>
      <c r="AD4" s="9" t="s">
        <v>80</v>
      </c>
      <c r="AE4" s="9">
        <v>15872995842</v>
      </c>
      <c r="AF4" s="9" t="s">
        <v>122</v>
      </c>
      <c r="AG4" s="49"/>
      <c r="AH4" s="9"/>
      <c r="AI4" s="9"/>
      <c r="AJ4" s="9"/>
      <c r="AK4" s="9"/>
      <c r="AL4" s="9"/>
      <c r="AM4" s="9"/>
      <c r="AN4" s="9" t="s">
        <v>99</v>
      </c>
      <c r="AO4" s="49" t="s">
        <v>118</v>
      </c>
      <c r="AP4" s="49" t="s">
        <v>123</v>
      </c>
      <c r="AQ4" s="9" t="s">
        <v>124</v>
      </c>
      <c r="AR4" s="9" t="s">
        <v>102</v>
      </c>
      <c r="AS4" s="9">
        <v>14</v>
      </c>
      <c r="AT4" s="9" t="s">
        <v>125</v>
      </c>
      <c r="AU4" s="9" t="s">
        <v>126</v>
      </c>
      <c r="AV4" s="9" t="s">
        <v>104</v>
      </c>
      <c r="AW4" s="9">
        <v>13597923212</v>
      </c>
      <c r="AX4" s="174" t="s">
        <v>127</v>
      </c>
      <c r="AY4" s="9">
        <v>3</v>
      </c>
      <c r="AZ4" s="24">
        <v>45413</v>
      </c>
      <c r="BA4" s="24">
        <v>46507</v>
      </c>
      <c r="BB4" s="9" t="s">
        <v>128</v>
      </c>
      <c r="BC4" s="9" t="s">
        <v>80</v>
      </c>
      <c r="BD4" s="9"/>
      <c r="BE4" s="9"/>
      <c r="BF4" s="9"/>
      <c r="BG4" s="9"/>
      <c r="BH4" s="9"/>
      <c r="BI4" s="9"/>
      <c r="BJ4" s="9"/>
      <c r="BK4" s="9"/>
      <c r="BL4" s="267" t="s">
        <v>129</v>
      </c>
      <c r="BM4" s="9" t="s">
        <v>109</v>
      </c>
      <c r="BN4" s="49" t="s">
        <v>110</v>
      </c>
      <c r="BO4" s="9">
        <v>2024.5</v>
      </c>
      <c r="BP4" s="9"/>
      <c r="BQ4" s="9"/>
      <c r="BR4" s="9">
        <v>2024.5</v>
      </c>
      <c r="BS4" s="9" t="s">
        <v>111</v>
      </c>
      <c r="BT4" s="9"/>
      <c r="BU4" s="9">
        <v>2025.3</v>
      </c>
      <c r="BV4" s="9"/>
      <c r="BW4" s="9"/>
      <c r="BX4" s="205">
        <v>45413</v>
      </c>
    </row>
  </sheetData>
  <autoFilter ref="B2:BW4">
    <extLst/>
  </autoFilter>
  <mergeCells count="8">
    <mergeCell ref="B1:U1"/>
    <mergeCell ref="V1:X1"/>
    <mergeCell ref="Y1:AE1"/>
    <mergeCell ref="AF1:AM1"/>
    <mergeCell ref="AN1:AW1"/>
    <mergeCell ref="AX1:BH1"/>
    <mergeCell ref="BI1:BR1"/>
    <mergeCell ref="BS1:BW1"/>
  </mergeCells>
  <conditionalFormatting sqref="G2">
    <cfRule type="duplicateValues" dxfId="0" priority="97"/>
    <cfRule type="duplicateValues" dxfId="1" priority="98"/>
  </conditionalFormatting>
  <conditionalFormatting sqref="H2">
    <cfRule type="duplicateValues" dxfId="0" priority="95"/>
    <cfRule type="duplicateValues" dxfId="1" priority="96"/>
  </conditionalFormatting>
  <conditionalFormatting sqref="I2">
    <cfRule type="duplicateValues" dxfId="0" priority="93"/>
    <cfRule type="duplicateValues" dxfId="1" priority="94"/>
  </conditionalFormatting>
  <conditionalFormatting sqref="K2">
    <cfRule type="duplicateValues" dxfId="0" priority="91"/>
    <cfRule type="duplicateValues" dxfId="1" priority="92"/>
  </conditionalFormatting>
  <conditionalFormatting sqref="M2">
    <cfRule type="duplicateValues" dxfId="1" priority="90"/>
    <cfRule type="duplicateValues" dxfId="0" priority="89"/>
  </conditionalFormatting>
  <conditionalFormatting sqref="N2">
    <cfRule type="duplicateValues" dxfId="0" priority="87"/>
    <cfRule type="duplicateValues" dxfId="1" priority="88"/>
  </conditionalFormatting>
  <conditionalFormatting sqref="O2">
    <cfRule type="duplicateValues" dxfId="1" priority="86"/>
    <cfRule type="duplicateValues" dxfId="0" priority="85"/>
  </conditionalFormatting>
  <conditionalFormatting sqref="P2">
    <cfRule type="duplicateValues" dxfId="1" priority="84"/>
    <cfRule type="duplicateValues" dxfId="0" priority="83"/>
  </conditionalFormatting>
  <conditionalFormatting sqref="Q2">
    <cfRule type="duplicateValues" dxfId="1" priority="82"/>
    <cfRule type="duplicateValues" dxfId="0" priority="81"/>
  </conditionalFormatting>
  <conditionalFormatting sqref="R2">
    <cfRule type="duplicateValues" dxfId="1" priority="80"/>
    <cfRule type="duplicateValues" dxfId="0" priority="79"/>
  </conditionalFormatting>
  <conditionalFormatting sqref="S2">
    <cfRule type="duplicateValues" dxfId="1" priority="78"/>
    <cfRule type="duplicateValues" dxfId="0" priority="77"/>
  </conditionalFormatting>
  <conditionalFormatting sqref="W2">
    <cfRule type="duplicateValues" dxfId="0" priority="75"/>
    <cfRule type="duplicateValues" dxfId="1" priority="76"/>
  </conditionalFormatting>
  <conditionalFormatting sqref="X2">
    <cfRule type="duplicateValues" dxfId="0" priority="73"/>
    <cfRule type="duplicateValues" dxfId="1" priority="74"/>
  </conditionalFormatting>
  <conditionalFormatting sqref="AN2">
    <cfRule type="duplicateValues" dxfId="0" priority="101"/>
    <cfRule type="duplicateValues" dxfId="1" priority="102"/>
  </conditionalFormatting>
  <conditionalFormatting sqref="AO2">
    <cfRule type="duplicateValues" dxfId="1" priority="100"/>
    <cfRule type="duplicateValues" dxfId="0" priority="99"/>
  </conditionalFormatting>
  <conditionalFormatting sqref="G3">
    <cfRule type="duplicateValues" dxfId="0" priority="69"/>
    <cfRule type="duplicateValues" dxfId="1" priority="70"/>
  </conditionalFormatting>
  <conditionalFormatting sqref="H3">
    <cfRule type="duplicateValues" dxfId="0" priority="67"/>
    <cfRule type="duplicateValues" dxfId="1" priority="68"/>
  </conditionalFormatting>
  <conditionalFormatting sqref="I3">
    <cfRule type="duplicateValues" dxfId="0" priority="65"/>
    <cfRule type="duplicateValues" dxfId="1" priority="66"/>
  </conditionalFormatting>
  <conditionalFormatting sqref="K3">
    <cfRule type="duplicateValues" dxfId="0" priority="63"/>
    <cfRule type="duplicateValues" dxfId="1" priority="64"/>
  </conditionalFormatting>
  <conditionalFormatting sqref="L3">
    <cfRule type="duplicateValues" dxfId="0" priority="61"/>
    <cfRule type="duplicateValues" dxfId="1" priority="62"/>
  </conditionalFormatting>
  <conditionalFormatting sqref="N3">
    <cfRule type="duplicateValues" dxfId="0" priority="59"/>
    <cfRule type="duplicateValues" dxfId="1" priority="60"/>
  </conditionalFormatting>
  <conditionalFormatting sqref="O3">
    <cfRule type="duplicateValues" dxfId="0" priority="57"/>
    <cfRule type="duplicateValues" dxfId="1" priority="58"/>
  </conditionalFormatting>
  <conditionalFormatting sqref="P3">
    <cfRule type="duplicateValues" dxfId="0" priority="55"/>
    <cfRule type="duplicateValues" dxfId="1" priority="56"/>
  </conditionalFormatting>
  <conditionalFormatting sqref="Q3">
    <cfRule type="duplicateValues" dxfId="0" priority="53"/>
    <cfRule type="duplicateValues" dxfId="1" priority="54"/>
  </conditionalFormatting>
  <conditionalFormatting sqref="R3">
    <cfRule type="duplicateValues" dxfId="0" priority="51"/>
    <cfRule type="duplicateValues" dxfId="1" priority="52"/>
  </conditionalFormatting>
  <conditionalFormatting sqref="S3">
    <cfRule type="duplicateValues" dxfId="0" priority="49"/>
    <cfRule type="duplicateValues" dxfId="1" priority="50"/>
  </conditionalFormatting>
  <conditionalFormatting sqref="W3">
    <cfRule type="duplicateValues" dxfId="0" priority="47"/>
    <cfRule type="duplicateValues" dxfId="1" priority="48"/>
  </conditionalFormatting>
  <conditionalFormatting sqref="X3">
    <cfRule type="duplicateValues" dxfId="0" priority="45"/>
    <cfRule type="duplicateValues" dxfId="1" priority="46"/>
  </conditionalFormatting>
  <conditionalFormatting sqref="AN3">
    <cfRule type="duplicateValues" dxfId="0" priority="71"/>
    <cfRule type="duplicateValues" dxfId="1" priority="72"/>
  </conditionalFormatting>
  <conditionalFormatting sqref="AO3">
    <cfRule type="duplicateValues" dxfId="0" priority="43"/>
    <cfRule type="duplicateValues" dxfId="1" priority="44"/>
  </conditionalFormatting>
  <conditionalFormatting sqref="O4">
    <cfRule type="duplicateValues" dxfId="0" priority="27"/>
    <cfRule type="duplicateValues" dxfId="1" priority="28"/>
  </conditionalFormatting>
  <conditionalFormatting sqref="P4">
    <cfRule type="duplicateValues" dxfId="0" priority="25"/>
    <cfRule type="duplicateValues" dxfId="1" priority="26"/>
  </conditionalFormatting>
  <conditionalFormatting sqref="Q4">
    <cfRule type="duplicateValues" dxfId="0" priority="23"/>
    <cfRule type="duplicateValues" dxfId="1" priority="24"/>
  </conditionalFormatting>
  <conditionalFormatting sqref="S4">
    <cfRule type="duplicateValues" dxfId="0" priority="1"/>
    <cfRule type="duplicateValues" dxfId="1" priority="2"/>
  </conditionalFormatting>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2"/>
  <sheetViews>
    <sheetView tabSelected="1" zoomScale="90" zoomScaleNormal="90" workbookViewId="0">
      <pane xSplit="5" ySplit="2" topLeftCell="N3" activePane="bottomRight" state="frozen"/>
      <selection/>
      <selection pane="topRight"/>
      <selection pane="bottomLeft"/>
      <selection pane="bottomRight" activeCell="U4" sqref="U4"/>
    </sheetView>
  </sheetViews>
  <sheetFormatPr defaultColWidth="9" defaultRowHeight="16.8" outlineLevelRow="1"/>
  <cols>
    <col min="1" max="1" width="5.27884615384615" style="105" customWidth="1"/>
    <col min="2" max="2" width="9.875" style="105" customWidth="1"/>
    <col min="3" max="3" width="6.75" style="105" customWidth="1"/>
    <col min="4" max="4" width="5.75" style="105" customWidth="1"/>
    <col min="5" max="5" width="15.5384615384615" style="105" customWidth="1"/>
    <col min="6" max="6" width="26.1153846153846" style="105" customWidth="1"/>
    <col min="7" max="7" width="14.2980769230769" style="105" customWidth="1"/>
    <col min="8" max="8" width="10.625" style="105" customWidth="1"/>
    <col min="9" max="9" width="12.25" style="105" customWidth="1"/>
    <col min="10" max="10" width="18.375" style="105" customWidth="1"/>
    <col min="11" max="11" width="9" style="105" customWidth="1"/>
    <col min="12" max="12" width="12.3461538461538" style="105" customWidth="1"/>
    <col min="13" max="13" width="8.5" style="105" customWidth="1"/>
    <col min="14" max="14" width="16.3846153846154" style="105" customWidth="1"/>
    <col min="15" max="15" width="10.375" style="105" customWidth="1"/>
    <col min="16" max="17" width="4.75" style="105" customWidth="1"/>
    <col min="18" max="18" width="5.69230769230769" style="105" customWidth="1"/>
    <col min="19" max="19" width="9" style="105" customWidth="1"/>
    <col min="20" max="20" width="5.125" style="105" customWidth="1"/>
    <col min="21" max="21" width="7.5" style="105" customWidth="1"/>
    <col min="22" max="24" width="9" style="105" customWidth="1"/>
    <col min="25" max="25" width="10.625" style="105" customWidth="1"/>
    <col min="26" max="26" width="9.25" style="105" customWidth="1"/>
    <col min="27" max="27" width="8.875" style="105" customWidth="1"/>
    <col min="28" max="28" width="8.125" style="105" customWidth="1"/>
    <col min="29" max="29" width="9" style="105" customWidth="1"/>
    <col min="30" max="30" width="6.25" style="105" customWidth="1"/>
    <col min="31" max="31" width="11.5" style="105" customWidth="1"/>
    <col min="32" max="32" width="5.5" style="105" customWidth="1"/>
    <col min="33" max="33" width="13.8846153846154" style="105" customWidth="1"/>
    <col min="34" max="34" width="12.3557692307692" style="105" customWidth="1"/>
    <col min="35" max="35" width="9.16346153846154" style="105" customWidth="1"/>
    <col min="36" max="36" width="10" style="105" customWidth="1"/>
    <col min="37" max="37" width="9" style="105" customWidth="1"/>
    <col min="38" max="38" width="11.375" style="105" customWidth="1"/>
    <col min="39" max="39" width="9" style="105" customWidth="1"/>
    <col min="40" max="40" width="6.5" style="105" customWidth="1"/>
    <col min="41" max="41" width="9" style="105" customWidth="1"/>
    <col min="42" max="42" width="7.625" style="105" customWidth="1"/>
    <col min="43" max="43" width="6.625" style="105" customWidth="1"/>
    <col min="44" max="44" width="4.375" style="105" customWidth="1"/>
    <col min="45" max="45" width="5.375" style="105" customWidth="1"/>
    <col min="46" max="46" width="9" style="105" customWidth="1"/>
    <col min="47" max="47" width="7.125" style="105" customWidth="1"/>
    <col min="48" max="48" width="6.5" style="105" customWidth="1"/>
    <col min="49" max="49" width="11.25" style="105" customWidth="1"/>
    <col min="50" max="50" width="10.875" style="106" customWidth="1"/>
    <col min="51" max="51" width="8" style="105" customWidth="1"/>
    <col min="52" max="52" width="11.5" style="105" customWidth="1"/>
    <col min="53" max="53" width="10.125" style="105" customWidth="1"/>
    <col min="54" max="54" width="10.5480769230769" style="105" customWidth="1"/>
    <col min="55" max="55" width="7.25" style="105" customWidth="1"/>
    <col min="56" max="58" width="9" style="105" customWidth="1"/>
    <col min="59" max="59" width="10.625" style="105" customWidth="1"/>
    <col min="60" max="60" width="11.625" style="106" customWidth="1"/>
    <col min="61" max="61" width="7.75" style="105" customWidth="1"/>
    <col min="62" max="62" width="9.875" style="105" customWidth="1"/>
    <col min="63" max="63" width="9.375" style="105" customWidth="1"/>
    <col min="64" max="64" width="19.4423076923077" style="106" customWidth="1"/>
    <col min="65" max="65" width="11.5288461538462" style="105" customWidth="1"/>
    <col min="66" max="66" width="9" style="105" customWidth="1"/>
    <col min="67" max="67" width="11.25" style="105" customWidth="1"/>
    <col min="68" max="68" width="9" style="105" customWidth="1"/>
    <col min="69" max="69" width="9.875" style="105" customWidth="1"/>
    <col min="70" max="75" width="9" style="105" customWidth="1"/>
    <col min="76" max="76" width="12.625" style="105" customWidth="1"/>
    <col min="77" max="77" width="5.875" style="225" customWidth="1"/>
    <col min="78" max="79" width="3.375" style="105" customWidth="1"/>
    <col min="80" max="80" width="9" style="105"/>
  </cols>
  <sheetData>
    <row r="1" ht="26" customHeight="1" spans="2:79">
      <c r="B1" s="257" t="s">
        <v>0</v>
      </c>
      <c r="C1" s="23"/>
      <c r="D1" s="23"/>
      <c r="E1" s="258"/>
      <c r="F1" s="23"/>
      <c r="G1" s="259"/>
      <c r="H1" s="23"/>
      <c r="I1" s="23"/>
      <c r="J1" s="23"/>
      <c r="K1" s="23"/>
      <c r="L1" s="259"/>
      <c r="M1" s="23"/>
      <c r="N1" s="259"/>
      <c r="O1" s="23"/>
      <c r="P1" s="23"/>
      <c r="Q1" s="23"/>
      <c r="R1" s="23"/>
      <c r="S1" s="23"/>
      <c r="T1" s="23"/>
      <c r="U1" s="260"/>
      <c r="V1" s="257" t="s">
        <v>1</v>
      </c>
      <c r="W1" s="258"/>
      <c r="X1" s="260"/>
      <c r="Y1" s="261" t="s">
        <v>2</v>
      </c>
      <c r="Z1" s="23"/>
      <c r="AA1" s="23"/>
      <c r="AB1" s="23"/>
      <c r="AC1" s="23"/>
      <c r="AD1" s="23"/>
      <c r="AE1" s="23"/>
      <c r="AF1" s="257" t="s">
        <v>3</v>
      </c>
      <c r="AG1" s="259"/>
      <c r="AH1" s="23"/>
      <c r="AI1" s="23"/>
      <c r="AJ1" s="23"/>
      <c r="AK1" s="23"/>
      <c r="AL1" s="23"/>
      <c r="AM1" s="260"/>
      <c r="AN1" s="257" t="s">
        <v>4</v>
      </c>
      <c r="AO1" s="23"/>
      <c r="AP1" s="23"/>
      <c r="AQ1" s="23"/>
      <c r="AR1" s="23"/>
      <c r="AS1" s="23"/>
      <c r="AT1" s="23"/>
      <c r="AU1" s="23"/>
      <c r="AV1" s="23"/>
      <c r="AW1" s="23"/>
      <c r="AX1" s="257" t="s">
        <v>5</v>
      </c>
      <c r="AY1" s="23"/>
      <c r="AZ1" s="23"/>
      <c r="BA1" s="23"/>
      <c r="BB1" s="23"/>
      <c r="BC1" s="23"/>
      <c r="BD1" s="23"/>
      <c r="BE1" s="23"/>
      <c r="BF1" s="23"/>
      <c r="BG1" s="23"/>
      <c r="BH1" s="260"/>
      <c r="BI1" s="257" t="s">
        <v>6</v>
      </c>
      <c r="BJ1" s="23"/>
      <c r="BK1" s="23"/>
      <c r="BL1" s="23"/>
      <c r="BM1" s="23"/>
      <c r="BN1" s="23"/>
      <c r="BO1" s="23"/>
      <c r="BP1" s="23"/>
      <c r="BQ1" s="23"/>
      <c r="BR1" s="260"/>
      <c r="BS1" s="263" t="s">
        <v>7</v>
      </c>
      <c r="BT1" s="263"/>
      <c r="BU1" s="263"/>
      <c r="BV1" s="263"/>
      <c r="BW1" s="263"/>
      <c r="BX1" s="264" t="s">
        <v>130</v>
      </c>
      <c r="BY1" s="255" t="s">
        <v>131</v>
      </c>
      <c r="BZ1" s="255"/>
      <c r="CA1" s="255"/>
    </row>
    <row r="2" s="105" customFormat="1" ht="31" customHeight="1" spans="1:79">
      <c r="A2" s="165" t="s">
        <v>8</v>
      </c>
      <c r="B2" s="165" t="s">
        <v>9</v>
      </c>
      <c r="C2" s="165" t="s">
        <v>10</v>
      </c>
      <c r="D2" s="165" t="s">
        <v>11</v>
      </c>
      <c r="E2" s="165" t="s">
        <v>12</v>
      </c>
      <c r="F2" s="165" t="s">
        <v>13</v>
      </c>
      <c r="G2" s="147" t="s">
        <v>14</v>
      </c>
      <c r="H2" s="165" t="s">
        <v>15</v>
      </c>
      <c r="I2" s="165" t="s">
        <v>16</v>
      </c>
      <c r="J2" s="165" t="s">
        <v>17</v>
      </c>
      <c r="K2" s="165" t="s">
        <v>18</v>
      </c>
      <c r="L2" s="147" t="s">
        <v>19</v>
      </c>
      <c r="M2" s="165" t="s">
        <v>20</v>
      </c>
      <c r="N2" s="147" t="s">
        <v>21</v>
      </c>
      <c r="O2" s="165" t="s">
        <v>22</v>
      </c>
      <c r="P2" s="165" t="s">
        <v>23</v>
      </c>
      <c r="Q2" s="165" t="s">
        <v>24</v>
      </c>
      <c r="R2" s="165" t="s">
        <v>25</v>
      </c>
      <c r="S2" s="165" t="s">
        <v>26</v>
      </c>
      <c r="T2" s="147" t="s">
        <v>132</v>
      </c>
      <c r="U2" s="165" t="s">
        <v>28</v>
      </c>
      <c r="V2" s="165" t="s">
        <v>29</v>
      </c>
      <c r="W2" s="165" t="s">
        <v>30</v>
      </c>
      <c r="X2" s="165" t="s">
        <v>31</v>
      </c>
      <c r="Y2" s="147" t="s">
        <v>32</v>
      </c>
      <c r="Z2" s="165" t="s">
        <v>33</v>
      </c>
      <c r="AA2" s="165" t="s">
        <v>34</v>
      </c>
      <c r="AB2" s="165" t="s">
        <v>35</v>
      </c>
      <c r="AC2" s="165" t="s">
        <v>36</v>
      </c>
      <c r="AD2" s="165" t="s">
        <v>37</v>
      </c>
      <c r="AE2" s="165" t="s">
        <v>38</v>
      </c>
      <c r="AF2" s="165" t="s">
        <v>39</v>
      </c>
      <c r="AG2" s="147" t="s">
        <v>40</v>
      </c>
      <c r="AH2" s="165" t="s">
        <v>41</v>
      </c>
      <c r="AI2" s="165" t="s">
        <v>33</v>
      </c>
      <c r="AJ2" s="165" t="s">
        <v>34</v>
      </c>
      <c r="AK2" s="165" t="s">
        <v>42</v>
      </c>
      <c r="AL2" s="147" t="s">
        <v>43</v>
      </c>
      <c r="AM2" s="165" t="s">
        <v>44</v>
      </c>
      <c r="AN2" s="147" t="s">
        <v>133</v>
      </c>
      <c r="AO2" s="165" t="s">
        <v>46</v>
      </c>
      <c r="AP2" s="147" t="s">
        <v>47</v>
      </c>
      <c r="AQ2" s="165" t="s">
        <v>10</v>
      </c>
      <c r="AR2" s="165" t="s">
        <v>11</v>
      </c>
      <c r="AS2" s="165" t="s">
        <v>23</v>
      </c>
      <c r="AT2" s="165" t="s">
        <v>48</v>
      </c>
      <c r="AU2" s="147" t="s">
        <v>49</v>
      </c>
      <c r="AV2" s="147" t="s">
        <v>50</v>
      </c>
      <c r="AW2" s="165" t="s">
        <v>51</v>
      </c>
      <c r="AX2" s="262" t="s">
        <v>134</v>
      </c>
      <c r="AY2" s="147" t="s">
        <v>53</v>
      </c>
      <c r="AZ2" s="165" t="s">
        <v>54</v>
      </c>
      <c r="BA2" s="165" t="s">
        <v>55</v>
      </c>
      <c r="BB2" s="165" t="s">
        <v>56</v>
      </c>
      <c r="BC2" s="165" t="s">
        <v>57</v>
      </c>
      <c r="BD2" s="165" t="s">
        <v>58</v>
      </c>
      <c r="BE2" s="165" t="s">
        <v>59</v>
      </c>
      <c r="BF2" s="147" t="s">
        <v>60</v>
      </c>
      <c r="BG2" s="165" t="s">
        <v>61</v>
      </c>
      <c r="BH2" s="147" t="s">
        <v>62</v>
      </c>
      <c r="BI2" s="147" t="s">
        <v>63</v>
      </c>
      <c r="BJ2" s="147" t="s">
        <v>64</v>
      </c>
      <c r="BK2" s="165" t="s">
        <v>65</v>
      </c>
      <c r="BL2" s="147" t="s">
        <v>66</v>
      </c>
      <c r="BM2" s="165" t="s">
        <v>67</v>
      </c>
      <c r="BN2" s="165" t="s">
        <v>68</v>
      </c>
      <c r="BO2" s="147" t="s">
        <v>69</v>
      </c>
      <c r="BP2" s="165" t="s">
        <v>70</v>
      </c>
      <c r="BQ2" s="147" t="s">
        <v>71</v>
      </c>
      <c r="BR2" s="147" t="s">
        <v>72</v>
      </c>
      <c r="BS2" s="165" t="s">
        <v>73</v>
      </c>
      <c r="BT2" s="165" t="s">
        <v>74</v>
      </c>
      <c r="BU2" s="165" t="s">
        <v>75</v>
      </c>
      <c r="BV2" s="165" t="s">
        <v>76</v>
      </c>
      <c r="BW2" s="165" t="s">
        <v>77</v>
      </c>
      <c r="BX2" s="264"/>
      <c r="BY2" s="224" t="s">
        <v>135</v>
      </c>
      <c r="BZ2" s="165" t="s">
        <v>136</v>
      </c>
      <c r="CA2" s="165" t="s">
        <v>137</v>
      </c>
    </row>
  </sheetData>
  <mergeCells count="10">
    <mergeCell ref="B1:U1"/>
    <mergeCell ref="V1:X1"/>
    <mergeCell ref="Y1:AE1"/>
    <mergeCell ref="AF1:AM1"/>
    <mergeCell ref="AN1:AW1"/>
    <mergeCell ref="AX1:BH1"/>
    <mergeCell ref="BI1:BR1"/>
    <mergeCell ref="BS1:BW1"/>
    <mergeCell ref="BY1:CA1"/>
    <mergeCell ref="BX1:BX2"/>
  </mergeCell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8"/>
  <sheetViews>
    <sheetView workbookViewId="0">
      <selection activeCell="E16" sqref="E16"/>
    </sheetView>
  </sheetViews>
  <sheetFormatPr defaultColWidth="9" defaultRowHeight="16.8" outlineLevelRow="7" outlineLevelCol="3"/>
  <cols>
    <col min="1" max="1" width="12.75"/>
    <col min="2" max="3" width="15"/>
    <col min="4" max="4" width="5.125"/>
    <col min="5" max="12" width="15"/>
    <col min="13" max="13" width="5.125"/>
    <col min="14" max="14" width="16.7115384615385"/>
    <col min="15" max="15" width="20.25"/>
    <col min="16" max="16" width="15"/>
    <col min="17" max="17" width="12"/>
    <col min="18" max="18" width="8.71153846153846"/>
    <col min="19" max="19" width="12"/>
    <col min="20" max="20" width="12.5865384615385"/>
    <col min="21" max="21" width="16.125"/>
    <col min="22" max="22" width="10.5865384615385"/>
    <col min="23" max="23" width="14"/>
    <col min="24" max="24" width="10.875"/>
    <col min="25" max="25" width="12"/>
    <col min="26" max="26" width="12.5865384615385"/>
    <col min="27" max="27" width="16.125"/>
    <col min="28" max="28" width="14.5865384615385"/>
    <col min="29" max="29" width="18.25"/>
    <col min="30" max="30" width="10.5865384615385"/>
    <col min="31" max="31" width="14"/>
    <col min="32" max="32" width="8.71153846153846"/>
    <col min="33" max="33" width="12"/>
    <col min="34" max="34" width="16.7115384615385"/>
    <col min="35" max="35" width="20.25"/>
    <col min="36" max="36" width="15"/>
    <col min="37" max="37" width="9.875"/>
    <col min="38" max="38" width="13.7115384615385"/>
    <col min="39" max="39" width="17.25"/>
    <col min="40" max="40" width="7"/>
    <col min="41" max="41" width="9.875"/>
    <col min="42" max="42" width="10.5865384615385"/>
    <col min="43" max="43" width="14"/>
    <col min="44" max="44" width="8.71153846153846"/>
    <col min="45" max="45" width="12"/>
    <col min="46" max="46" width="7"/>
    <col min="47" max="47" width="9.875"/>
    <col min="48" max="48" width="12.5865384615385"/>
    <col min="49" max="49" width="16.125"/>
    <col min="50" max="50" width="8.71153846153846"/>
    <col min="51" max="51" width="12"/>
    <col min="52" max="52" width="15"/>
    <col min="53" max="53" width="16.125"/>
    <col min="54" max="54" width="15"/>
    <col min="55" max="55" width="18.25"/>
    <col min="56" max="56" width="18.8365384615385"/>
    <col min="57" max="57" width="22.375"/>
    <col min="58" max="58" width="15"/>
    <col min="59" max="59" width="14"/>
    <col min="60" max="60" width="12.5865384615385"/>
    <col min="61" max="61" width="16.125"/>
    <col min="62" max="62" width="15"/>
    <col min="63" max="63" width="12"/>
    <col min="64" max="64" width="7"/>
    <col min="65" max="65" width="9.875"/>
    <col min="66" max="66" width="8.71153846153846"/>
    <col min="67" max="67" width="12"/>
    <col min="68" max="68" width="16.7115384615385"/>
    <col min="69" max="69" width="20.25"/>
    <col min="70" max="70" width="16.7115384615385"/>
    <col min="71" max="71" width="20.25"/>
    <col min="72" max="72" width="20.8365384615385"/>
    <col min="73" max="73" width="24.5"/>
    <col min="74" max="74" width="14.5865384615385"/>
    <col min="75" max="75" width="18.25"/>
    <col min="76" max="76" width="8.71153846153846"/>
    <col min="77" max="77" width="12"/>
    <col min="78" max="78" width="15"/>
    <col min="79" max="79" width="9.875"/>
    <col min="80" max="80" width="12.5865384615385"/>
    <col min="81" max="81" width="16.125"/>
    <col min="82" max="82" width="8.71153846153846"/>
    <col min="83" max="83" width="12"/>
    <col min="84" max="84" width="15.7115384615385"/>
    <col min="85" max="85" width="19.375"/>
    <col min="86" max="86" width="15.7115384615385"/>
    <col min="87" max="87" width="19.375"/>
    <col min="88" max="88" width="12.5865384615385"/>
    <col min="89" max="89" width="16.125"/>
    <col min="90" max="90" width="10.5865384615385"/>
    <col min="91" max="91" width="14"/>
    <col min="92" max="92" width="10.5865384615385"/>
    <col min="93" max="93" width="14"/>
    <col min="94" max="94" width="14.5865384615385"/>
    <col min="95" max="95" width="18.25"/>
    <col min="96" max="96" width="10.5865384615385"/>
    <col min="97" max="97" width="14"/>
    <col min="98" max="98" width="15"/>
    <col min="99" max="99" width="9.875"/>
    <col min="100" max="100" width="8.71153846153846"/>
    <col min="101" max="101" width="12"/>
    <col min="102" max="102" width="7"/>
    <col min="103" max="103" width="9.875"/>
    <col min="104" max="104" width="13.7115384615385"/>
    <col min="105" max="105" width="17.25"/>
    <col min="106" max="106" width="12.5865384615385"/>
    <col min="107" max="107" width="16.125"/>
    <col min="108" max="108" width="13.7115384615385"/>
    <col min="109" max="109" width="17.25"/>
    <col min="110" max="110" width="15"/>
    <col min="111" max="111" width="16.125"/>
    <col min="112" max="112" width="12.5865384615385"/>
    <col min="113" max="113" width="16.125"/>
    <col min="114" max="114" width="8.71153846153846"/>
    <col min="115" max="115" width="12"/>
    <col min="116" max="116" width="12.5865384615385"/>
    <col min="117" max="117" width="16.125"/>
    <col min="118" max="118" width="10.5865384615385"/>
    <col min="119" max="119" width="14"/>
    <col min="120" max="120" width="10.5865384615385"/>
    <col min="121" max="121" width="14"/>
    <col min="122" max="122" width="19.9615384615385"/>
    <col min="123" max="123" width="23.5"/>
    <col min="124" max="124" width="12.5865384615385"/>
    <col min="125" max="125" width="16.125"/>
    <col min="126" max="126" width="8.71153846153846"/>
    <col min="127" max="127" width="12"/>
    <col min="128" max="128" width="10.5865384615385"/>
    <col min="129" max="129" width="14"/>
    <col min="130" max="130" width="10.5865384615385"/>
    <col min="131" max="131" width="14"/>
    <col min="132" max="132" width="8.83653846153846"/>
    <col min="133" max="133" width="12.125"/>
    <col min="134" max="134" width="5.125"/>
  </cols>
  <sheetData>
    <row r="3" spans="1:2">
      <c r="A3" t="s">
        <v>138</v>
      </c>
      <c r="B3" t="s">
        <v>12</v>
      </c>
    </row>
    <row r="4" spans="1:4">
      <c r="A4" t="s">
        <v>15</v>
      </c>
      <c r="B4" t="s">
        <v>139</v>
      </c>
      <c r="C4" t="s">
        <v>81</v>
      </c>
      <c r="D4" t="s">
        <v>140</v>
      </c>
    </row>
    <row r="5" spans="1:4">
      <c r="A5" s="256">
        <v>45748</v>
      </c>
      <c r="B5">
        <v>1</v>
      </c>
      <c r="C5">
        <v>1</v>
      </c>
      <c r="D5">
        <v>2</v>
      </c>
    </row>
    <row r="6" spans="1:4">
      <c r="A6" s="256">
        <v>45759</v>
      </c>
      <c r="C6">
        <v>1</v>
      </c>
      <c r="D6">
        <v>1</v>
      </c>
    </row>
    <row r="7" spans="1:4">
      <c r="A7" s="256">
        <v>45761</v>
      </c>
      <c r="B7">
        <v>1</v>
      </c>
      <c r="D7">
        <v>1</v>
      </c>
    </row>
    <row r="8" spans="1:4">
      <c r="A8" t="s">
        <v>140</v>
      </c>
      <c r="B8">
        <v>2</v>
      </c>
      <c r="C8">
        <v>2</v>
      </c>
      <c r="D8">
        <v>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01"/>
  <sheetViews>
    <sheetView workbookViewId="0">
      <pane xSplit="5" ySplit="1" topLeftCell="BO89" activePane="bottomRight" state="frozen"/>
      <selection/>
      <selection pane="topRight"/>
      <selection pane="bottomLeft"/>
      <selection pane="bottomRight" activeCell="E16" sqref="E16"/>
    </sheetView>
  </sheetViews>
  <sheetFormatPr defaultColWidth="9" defaultRowHeight="16.8"/>
  <cols>
    <col min="1" max="1" width="3.625" style="105" customWidth="1"/>
    <col min="2" max="2" width="9.875" style="105" customWidth="1"/>
    <col min="3" max="3" width="6.75" style="105" customWidth="1"/>
    <col min="4" max="4" width="5.75" style="105" customWidth="1"/>
    <col min="5" max="5" width="12.625" style="105" customWidth="1"/>
    <col min="6" max="6" width="23.375" style="105" customWidth="1"/>
    <col min="7" max="7" width="9" style="105" customWidth="1"/>
    <col min="8" max="8" width="10.625" style="105" customWidth="1"/>
    <col min="9" max="9" width="12.25" style="105" customWidth="1"/>
    <col min="10" max="10" width="18.375" style="105" customWidth="1"/>
    <col min="11" max="11" width="9" style="105" customWidth="1"/>
    <col min="12" max="12" width="10.5" style="105" customWidth="1"/>
    <col min="13" max="13" width="8.5" style="105" customWidth="1"/>
    <col min="14" max="14" width="10.625" style="105" customWidth="1"/>
    <col min="15" max="15" width="10.375" style="105" customWidth="1"/>
    <col min="16" max="17" width="4.75" style="105" customWidth="1"/>
    <col min="18" max="18" width="4.5" style="105" customWidth="1"/>
    <col min="19" max="19" width="9" style="105" customWidth="1"/>
    <col min="20" max="20" width="5.125" style="105" customWidth="1"/>
    <col min="21" max="21" width="7.5" style="105" customWidth="1"/>
    <col min="22" max="24" width="9" style="105" customWidth="1"/>
    <col min="25" max="25" width="10.625" style="105" customWidth="1"/>
    <col min="26" max="27" width="8" style="105" customWidth="1"/>
    <col min="28" max="28" width="8.125" style="105" customWidth="1"/>
    <col min="29" max="29" width="9" style="105" customWidth="1"/>
    <col min="30" max="30" width="6.25" style="105" customWidth="1"/>
    <col min="31" max="31" width="11.5" style="105" customWidth="1"/>
    <col min="32" max="32" width="5.5" style="105" customWidth="1"/>
    <col min="33" max="33" width="9.25" style="105" customWidth="1"/>
    <col min="34" max="34" width="10.625" style="105" customWidth="1"/>
    <col min="35" max="35" width="7.75" style="105" customWidth="1"/>
    <col min="36" max="36" width="7.625" style="105" customWidth="1"/>
    <col min="37" max="39" width="9" style="105" customWidth="1"/>
    <col min="40" max="40" width="6.5" style="105" customWidth="1"/>
    <col min="41" max="41" width="9" style="105" customWidth="1"/>
    <col min="42" max="42" width="7.625" style="105" customWidth="1"/>
    <col min="43" max="43" width="6.625" style="105" customWidth="1"/>
    <col min="44" max="44" width="4.375" style="105" customWidth="1"/>
    <col min="45" max="45" width="5.375" style="105" customWidth="1"/>
    <col min="46" max="46" width="9" style="105" customWidth="1"/>
    <col min="47" max="47" width="7.125" style="105" customWidth="1"/>
    <col min="48" max="48" width="6.5" style="105" customWidth="1"/>
    <col min="49" max="49" width="11.25" style="105" customWidth="1"/>
    <col min="50" max="50" width="10.875" style="106" customWidth="1"/>
    <col min="51" max="51" width="6.375" style="105" customWidth="1"/>
    <col min="52" max="52" width="11.5" style="105" customWidth="1"/>
    <col min="53" max="53" width="10.125" style="105" customWidth="1"/>
    <col min="54" max="54" width="9" style="105" customWidth="1"/>
    <col min="55" max="55" width="7.25" style="105" customWidth="1"/>
    <col min="56" max="59" width="9" style="105" customWidth="1"/>
    <col min="60" max="60" width="11.625" style="106" customWidth="1"/>
    <col min="61" max="61" width="7.75" style="105" customWidth="1"/>
    <col min="62" max="62" width="9.875" style="105" customWidth="1"/>
    <col min="63" max="63" width="9.375" style="105" customWidth="1"/>
    <col min="64" max="64" width="13.625" style="106" customWidth="1"/>
    <col min="65" max="65" width="10.75" style="105" customWidth="1"/>
    <col min="66" max="68" width="9" style="105" customWidth="1"/>
    <col min="69" max="69" width="9.875" style="105" customWidth="1"/>
    <col min="70" max="75" width="9" style="105" customWidth="1"/>
    <col min="76" max="76" width="12.625" style="105" customWidth="1"/>
    <col min="77" max="77" width="5.875" style="225" customWidth="1"/>
    <col min="78" max="79" width="3.375" style="105" customWidth="1"/>
    <col min="80" max="80" width="9" style="105"/>
  </cols>
  <sheetData>
    <row r="1" s="105" customFormat="1" ht="31" customHeight="1" spans="1:79">
      <c r="A1" s="165" t="s">
        <v>8</v>
      </c>
      <c r="B1" s="165" t="s">
        <v>9</v>
      </c>
      <c r="C1" s="165" t="s">
        <v>10</v>
      </c>
      <c r="D1" s="165" t="s">
        <v>11</v>
      </c>
      <c r="E1" s="165" t="s">
        <v>12</v>
      </c>
      <c r="F1" s="165" t="s">
        <v>13</v>
      </c>
      <c r="G1" s="147" t="s">
        <v>14</v>
      </c>
      <c r="H1" s="165" t="s">
        <v>15</v>
      </c>
      <c r="I1" s="165" t="s">
        <v>16</v>
      </c>
      <c r="J1" s="165" t="s">
        <v>17</v>
      </c>
      <c r="K1" s="165" t="s">
        <v>18</v>
      </c>
      <c r="L1" s="147" t="s">
        <v>19</v>
      </c>
      <c r="M1" s="165" t="s">
        <v>20</v>
      </c>
      <c r="N1" s="147" t="s">
        <v>21</v>
      </c>
      <c r="O1" s="165" t="s">
        <v>22</v>
      </c>
      <c r="P1" s="165" t="s">
        <v>23</v>
      </c>
      <c r="Q1" s="165" t="s">
        <v>24</v>
      </c>
      <c r="R1" s="165" t="s">
        <v>25</v>
      </c>
      <c r="S1" s="165" t="s">
        <v>26</v>
      </c>
      <c r="T1" s="147" t="s">
        <v>132</v>
      </c>
      <c r="U1" s="165" t="s">
        <v>28</v>
      </c>
      <c r="V1" s="165" t="s">
        <v>29</v>
      </c>
      <c r="W1" s="165" t="s">
        <v>30</v>
      </c>
      <c r="X1" s="165" t="s">
        <v>31</v>
      </c>
      <c r="Y1" s="147" t="s">
        <v>32</v>
      </c>
      <c r="Z1" s="165" t="s">
        <v>33</v>
      </c>
      <c r="AA1" s="165" t="s">
        <v>34</v>
      </c>
      <c r="AB1" s="165" t="s">
        <v>35</v>
      </c>
      <c r="AC1" s="165" t="s">
        <v>36</v>
      </c>
      <c r="AD1" s="165" t="s">
        <v>37</v>
      </c>
      <c r="AE1" s="165" t="s">
        <v>38</v>
      </c>
      <c r="AF1" s="165" t="s">
        <v>39</v>
      </c>
      <c r="AG1" s="147" t="s">
        <v>40</v>
      </c>
      <c r="AH1" s="165" t="s">
        <v>41</v>
      </c>
      <c r="AI1" s="165" t="s">
        <v>33</v>
      </c>
      <c r="AJ1" s="165" t="s">
        <v>34</v>
      </c>
      <c r="AK1" s="165" t="s">
        <v>42</v>
      </c>
      <c r="AL1" s="147" t="s">
        <v>43</v>
      </c>
      <c r="AM1" s="165" t="s">
        <v>44</v>
      </c>
      <c r="AN1" s="147" t="s">
        <v>133</v>
      </c>
      <c r="AO1" s="165" t="s">
        <v>46</v>
      </c>
      <c r="AP1" s="147" t="s">
        <v>47</v>
      </c>
      <c r="AQ1" s="165" t="s">
        <v>10</v>
      </c>
      <c r="AR1" s="165" t="s">
        <v>11</v>
      </c>
      <c r="AS1" s="165" t="s">
        <v>23</v>
      </c>
      <c r="AT1" s="165" t="s">
        <v>48</v>
      </c>
      <c r="AU1" s="147" t="s">
        <v>49</v>
      </c>
      <c r="AV1" s="147" t="s">
        <v>50</v>
      </c>
      <c r="AW1" s="165" t="s">
        <v>51</v>
      </c>
      <c r="AX1" s="147" t="s">
        <v>134</v>
      </c>
      <c r="AY1" s="147" t="s">
        <v>53</v>
      </c>
      <c r="AZ1" s="165" t="s">
        <v>54</v>
      </c>
      <c r="BA1" s="165" t="s">
        <v>55</v>
      </c>
      <c r="BB1" s="165" t="s">
        <v>56</v>
      </c>
      <c r="BC1" s="165" t="s">
        <v>57</v>
      </c>
      <c r="BD1" s="165" t="s">
        <v>58</v>
      </c>
      <c r="BE1" s="165" t="s">
        <v>59</v>
      </c>
      <c r="BF1" s="147" t="s">
        <v>60</v>
      </c>
      <c r="BG1" s="165" t="s">
        <v>61</v>
      </c>
      <c r="BH1" s="147" t="s">
        <v>62</v>
      </c>
      <c r="BI1" s="147" t="s">
        <v>63</v>
      </c>
      <c r="BJ1" s="147" t="s">
        <v>64</v>
      </c>
      <c r="BK1" s="165" t="s">
        <v>65</v>
      </c>
      <c r="BL1" s="147" t="s">
        <v>66</v>
      </c>
      <c r="BM1" s="165" t="s">
        <v>67</v>
      </c>
      <c r="BN1" s="165" t="s">
        <v>68</v>
      </c>
      <c r="BO1" s="147" t="s">
        <v>69</v>
      </c>
      <c r="BP1" s="165" t="s">
        <v>70</v>
      </c>
      <c r="BQ1" s="147" t="s">
        <v>71</v>
      </c>
      <c r="BR1" s="147" t="s">
        <v>72</v>
      </c>
      <c r="BS1" s="165" t="s">
        <v>73</v>
      </c>
      <c r="BT1" s="165" t="s">
        <v>74</v>
      </c>
      <c r="BU1" s="165" t="s">
        <v>75</v>
      </c>
      <c r="BV1" s="165" t="s">
        <v>76</v>
      </c>
      <c r="BW1" s="165" t="s">
        <v>77</v>
      </c>
      <c r="BX1" s="165" t="s">
        <v>141</v>
      </c>
      <c r="BY1" s="224" t="s">
        <v>135</v>
      </c>
      <c r="BZ1" s="165" t="s">
        <v>136</v>
      </c>
      <c r="CA1" s="165" t="s">
        <v>137</v>
      </c>
    </row>
    <row r="2" s="103" customFormat="1" ht="31" customHeight="1" spans="1:79">
      <c r="A2" s="47">
        <v>1</v>
      </c>
      <c r="B2" s="47" t="s">
        <v>142</v>
      </c>
      <c r="C2" s="58" t="s">
        <v>143</v>
      </c>
      <c r="D2" s="111" t="str">
        <f t="shared" ref="D2:D65" si="0">IF(MOD(MID(J2,17,1),2)=1,"男","女")</f>
        <v>男</v>
      </c>
      <c r="E2" s="47" t="s">
        <v>139</v>
      </c>
      <c r="F2" s="47" t="s">
        <v>144</v>
      </c>
      <c r="G2" s="116" t="s">
        <v>145</v>
      </c>
      <c r="H2" s="18">
        <v>42324</v>
      </c>
      <c r="I2" s="130">
        <v>13197133302</v>
      </c>
      <c r="J2" s="27" t="s">
        <v>146</v>
      </c>
      <c r="K2" s="28" t="s">
        <v>147</v>
      </c>
      <c r="L2" s="28" t="s">
        <v>148</v>
      </c>
      <c r="M2" s="47" t="s">
        <v>149</v>
      </c>
      <c r="N2" s="28" t="s">
        <v>148</v>
      </c>
      <c r="O2" s="32" t="str">
        <f t="shared" ref="O2:O8" si="1">TEXT(MID(J2,7,8),"0-00-00")</f>
        <v>1978-01-02</v>
      </c>
      <c r="P2" s="34">
        <f ca="1" t="shared" ref="P2:P65" si="2">YEAR(TODAY())-MID(J2,7,4)</f>
        <v>48</v>
      </c>
      <c r="Q2" s="47">
        <f ca="1" t="shared" ref="Q2:Q8" si="3">IF(H2="","",DATEDIF(H2,TODAY(),"Y"))</f>
        <v>10</v>
      </c>
      <c r="R2" s="28" t="s">
        <v>88</v>
      </c>
      <c r="S2" s="47" t="s">
        <v>89</v>
      </c>
      <c r="T2" s="58" t="s">
        <v>150</v>
      </c>
      <c r="U2" s="47" t="s">
        <v>91</v>
      </c>
      <c r="V2" s="47" t="s">
        <v>92</v>
      </c>
      <c r="W2" s="47" t="s">
        <v>151</v>
      </c>
      <c r="X2" s="47"/>
      <c r="Y2" s="37" t="s">
        <v>152</v>
      </c>
      <c r="Z2" s="47">
        <v>2010.11</v>
      </c>
      <c r="AA2" s="47">
        <v>2015.11</v>
      </c>
      <c r="AB2" s="47" t="s">
        <v>153</v>
      </c>
      <c r="AC2" s="47"/>
      <c r="AD2" s="47"/>
      <c r="AE2" s="47"/>
      <c r="AF2" s="28" t="s">
        <v>154</v>
      </c>
      <c r="AG2" s="37" t="s">
        <v>155</v>
      </c>
      <c r="AH2" s="28" t="s">
        <v>156</v>
      </c>
      <c r="AI2" s="47"/>
      <c r="AJ2" s="47">
        <v>2021.6</v>
      </c>
      <c r="AK2" s="47"/>
      <c r="AL2" s="37" t="s">
        <v>157</v>
      </c>
      <c r="AM2" s="47"/>
      <c r="AN2" s="111" t="s">
        <v>99</v>
      </c>
      <c r="AO2" s="28" t="s">
        <v>148</v>
      </c>
      <c r="AP2" s="37" t="s">
        <v>100</v>
      </c>
      <c r="AQ2" s="37" t="s">
        <v>158</v>
      </c>
      <c r="AR2" s="47" t="s">
        <v>102</v>
      </c>
      <c r="AS2" s="47">
        <v>73</v>
      </c>
      <c r="AT2" s="47" t="s">
        <v>159</v>
      </c>
      <c r="AU2" s="47" t="s">
        <v>160</v>
      </c>
      <c r="AV2" s="47" t="s">
        <v>104</v>
      </c>
      <c r="AW2" s="28">
        <v>13477371019</v>
      </c>
      <c r="AX2" s="175" t="s">
        <v>161</v>
      </c>
      <c r="AY2" s="47">
        <v>5</v>
      </c>
      <c r="AZ2" s="177">
        <v>42415</v>
      </c>
      <c r="BA2" s="123">
        <v>45961</v>
      </c>
      <c r="BB2" s="47" t="s">
        <v>106</v>
      </c>
      <c r="BC2" s="47"/>
      <c r="BD2" s="47"/>
      <c r="BE2" s="47"/>
      <c r="BF2" s="37"/>
      <c r="BG2" s="47"/>
      <c r="BH2" s="37" t="s">
        <v>162</v>
      </c>
      <c r="BI2" s="37"/>
      <c r="BJ2" s="37"/>
      <c r="BK2" s="47"/>
      <c r="BL2" s="268" t="s">
        <v>163</v>
      </c>
      <c r="BM2" s="47" t="s">
        <v>109</v>
      </c>
      <c r="BN2" s="37" t="s">
        <v>110</v>
      </c>
      <c r="BO2" s="47">
        <v>2016.3</v>
      </c>
      <c r="BP2" s="27"/>
      <c r="BQ2" s="37"/>
      <c r="BR2" s="47">
        <v>2016.7</v>
      </c>
      <c r="BS2" s="47" t="s">
        <v>111</v>
      </c>
      <c r="BT2" s="47"/>
      <c r="BU2" s="206" t="s">
        <v>164</v>
      </c>
      <c r="BV2" s="47"/>
      <c r="BW2" s="47"/>
      <c r="BX2" s="209">
        <v>42415</v>
      </c>
      <c r="BY2" s="197">
        <v>1978</v>
      </c>
      <c r="BZ2" s="47">
        <v>1</v>
      </c>
      <c r="CA2" s="47">
        <v>2</v>
      </c>
    </row>
    <row r="3" s="103" customFormat="1" ht="31" customHeight="1" spans="1:79">
      <c r="A3" s="47">
        <v>2</v>
      </c>
      <c r="B3" s="47" t="s">
        <v>165</v>
      </c>
      <c r="C3" s="111" t="s">
        <v>166</v>
      </c>
      <c r="D3" s="111" t="str">
        <f t="shared" si="0"/>
        <v>女</v>
      </c>
      <c r="E3" s="47" t="s">
        <v>139</v>
      </c>
      <c r="F3" s="47" t="s">
        <v>144</v>
      </c>
      <c r="G3" s="117" t="s">
        <v>167</v>
      </c>
      <c r="H3" s="18">
        <v>43522</v>
      </c>
      <c r="I3" s="111">
        <v>13268968337</v>
      </c>
      <c r="J3" s="27" t="s">
        <v>168</v>
      </c>
      <c r="K3" s="28" t="s">
        <v>169</v>
      </c>
      <c r="L3" s="28" t="s">
        <v>170</v>
      </c>
      <c r="M3" s="47" t="s">
        <v>149</v>
      </c>
      <c r="N3" s="28" t="s">
        <v>171</v>
      </c>
      <c r="O3" s="32" t="str">
        <f t="shared" si="1"/>
        <v>1988-01-18</v>
      </c>
      <c r="P3" s="34">
        <f ca="1" t="shared" si="2"/>
        <v>38</v>
      </c>
      <c r="Q3" s="47">
        <f ca="1" t="shared" si="3"/>
        <v>7</v>
      </c>
      <c r="R3" s="28" t="s">
        <v>88</v>
      </c>
      <c r="S3" s="47" t="s">
        <v>89</v>
      </c>
      <c r="T3" s="58" t="s">
        <v>90</v>
      </c>
      <c r="U3" s="47" t="s">
        <v>91</v>
      </c>
      <c r="V3" s="47" t="s">
        <v>92</v>
      </c>
      <c r="W3" s="47"/>
      <c r="X3" s="47"/>
      <c r="Y3" s="37" t="s">
        <v>172</v>
      </c>
      <c r="Z3" s="37">
        <v>2009.9</v>
      </c>
      <c r="AA3" s="47">
        <v>2018.12</v>
      </c>
      <c r="AB3" s="47" t="s">
        <v>173</v>
      </c>
      <c r="AC3" s="47"/>
      <c r="AD3" s="47"/>
      <c r="AE3" s="47"/>
      <c r="AF3" s="111" t="s">
        <v>154</v>
      </c>
      <c r="AG3" s="37" t="s">
        <v>174</v>
      </c>
      <c r="AH3" s="28" t="s">
        <v>175</v>
      </c>
      <c r="AI3" s="47">
        <v>2005.9</v>
      </c>
      <c r="AJ3" s="47">
        <v>2008.6</v>
      </c>
      <c r="AK3" s="47"/>
      <c r="AL3" s="47"/>
      <c r="AM3" s="47"/>
      <c r="AN3" s="111" t="s">
        <v>99</v>
      </c>
      <c r="AO3" s="28" t="s">
        <v>171</v>
      </c>
      <c r="AP3" s="103" t="s">
        <v>176</v>
      </c>
      <c r="AQ3" s="47" t="s">
        <v>177</v>
      </c>
      <c r="AR3" s="47" t="s">
        <v>102</v>
      </c>
      <c r="AS3" s="47">
        <v>39</v>
      </c>
      <c r="AT3" s="47" t="s">
        <v>178</v>
      </c>
      <c r="AU3" s="47" t="s">
        <v>177</v>
      </c>
      <c r="AV3" s="47" t="s">
        <v>104</v>
      </c>
      <c r="AW3" s="28">
        <v>13997919620</v>
      </c>
      <c r="AX3" s="37" t="s">
        <v>179</v>
      </c>
      <c r="AY3" s="47">
        <v>4</v>
      </c>
      <c r="AZ3" s="177">
        <v>43617</v>
      </c>
      <c r="BA3" s="123">
        <v>45808</v>
      </c>
      <c r="BB3" s="47" t="s">
        <v>106</v>
      </c>
      <c r="BC3" s="47"/>
      <c r="BD3" s="47"/>
      <c r="BE3" s="47"/>
      <c r="BF3" s="37"/>
      <c r="BG3" s="47"/>
      <c r="BH3" s="37" t="s">
        <v>180</v>
      </c>
      <c r="BI3" s="37"/>
      <c r="BJ3" s="37"/>
      <c r="BK3" s="47"/>
      <c r="BL3" s="268" t="s">
        <v>181</v>
      </c>
      <c r="BM3" s="47" t="s">
        <v>109</v>
      </c>
      <c r="BN3" s="37" t="s">
        <v>110</v>
      </c>
      <c r="BO3" s="47">
        <v>2019.6</v>
      </c>
      <c r="BP3" s="58"/>
      <c r="BQ3" s="37"/>
      <c r="BR3" s="47">
        <v>2019.6</v>
      </c>
      <c r="BS3" s="47" t="s">
        <v>111</v>
      </c>
      <c r="BT3" s="47"/>
      <c r="BU3" s="206" t="s">
        <v>164</v>
      </c>
      <c r="BV3" s="47"/>
      <c r="BW3" s="47"/>
      <c r="BX3" s="209">
        <v>43617</v>
      </c>
      <c r="BY3" s="197">
        <v>1988</v>
      </c>
      <c r="BZ3" s="47">
        <v>1</v>
      </c>
      <c r="CA3" s="47">
        <v>18</v>
      </c>
    </row>
    <row r="4" s="103" customFormat="1" ht="31" customHeight="1" spans="1:79">
      <c r="A4" s="47">
        <v>3</v>
      </c>
      <c r="B4" s="47" t="s">
        <v>182</v>
      </c>
      <c r="C4" s="112" t="s">
        <v>183</v>
      </c>
      <c r="D4" s="111" t="str">
        <f t="shared" si="0"/>
        <v>男</v>
      </c>
      <c r="E4" s="47" t="s">
        <v>139</v>
      </c>
      <c r="F4" s="47" t="s">
        <v>144</v>
      </c>
      <c r="G4" s="117" t="s">
        <v>184</v>
      </c>
      <c r="H4" s="18">
        <v>43566</v>
      </c>
      <c r="I4" s="111">
        <v>15926668783</v>
      </c>
      <c r="J4" s="27" t="s">
        <v>185</v>
      </c>
      <c r="K4" s="28" t="s">
        <v>116</v>
      </c>
      <c r="L4" s="28" t="s">
        <v>186</v>
      </c>
      <c r="M4" s="47" t="s">
        <v>187</v>
      </c>
      <c r="N4" s="28" t="s">
        <v>188</v>
      </c>
      <c r="O4" s="32" t="str">
        <f t="shared" si="1"/>
        <v>1988-10-30</v>
      </c>
      <c r="P4" s="34">
        <f ca="1" t="shared" si="2"/>
        <v>38</v>
      </c>
      <c r="Q4" s="47">
        <f ca="1" t="shared" si="3"/>
        <v>7</v>
      </c>
      <c r="R4" s="28" t="s">
        <v>88</v>
      </c>
      <c r="S4" s="47" t="s">
        <v>89</v>
      </c>
      <c r="T4" s="58" t="s">
        <v>90</v>
      </c>
      <c r="U4" s="47" t="s">
        <v>91</v>
      </c>
      <c r="V4" s="47" t="s">
        <v>92</v>
      </c>
      <c r="W4" s="47"/>
      <c r="X4" s="47"/>
      <c r="Y4" s="37" t="s">
        <v>189</v>
      </c>
      <c r="Z4" s="47">
        <v>2013.8</v>
      </c>
      <c r="AA4" s="65">
        <v>2018.1</v>
      </c>
      <c r="AB4" s="47" t="s">
        <v>190</v>
      </c>
      <c r="AC4" s="47"/>
      <c r="AD4" s="47" t="s">
        <v>191</v>
      </c>
      <c r="AE4" s="47">
        <v>18811362352</v>
      </c>
      <c r="AF4" s="111" t="s">
        <v>154</v>
      </c>
      <c r="AG4" s="37" t="s">
        <v>192</v>
      </c>
      <c r="AH4" s="28" t="s">
        <v>193</v>
      </c>
      <c r="AI4" s="47">
        <v>2007.9</v>
      </c>
      <c r="AJ4" s="47">
        <v>2010.6</v>
      </c>
      <c r="AK4" s="47"/>
      <c r="AL4" s="47"/>
      <c r="AM4" s="47"/>
      <c r="AN4" s="111" t="s">
        <v>194</v>
      </c>
      <c r="AO4" s="28" t="s">
        <v>188</v>
      </c>
      <c r="AP4" s="37" t="s">
        <v>100</v>
      </c>
      <c r="AQ4" s="47" t="s">
        <v>195</v>
      </c>
      <c r="AR4" s="47" t="s">
        <v>102</v>
      </c>
      <c r="AS4" s="47">
        <v>54</v>
      </c>
      <c r="AT4" s="47" t="s">
        <v>159</v>
      </c>
      <c r="AU4" s="47" t="s">
        <v>196</v>
      </c>
      <c r="AV4" s="47" t="s">
        <v>197</v>
      </c>
      <c r="AW4" s="28">
        <v>15871985710</v>
      </c>
      <c r="AX4" s="37" t="s">
        <v>179</v>
      </c>
      <c r="AY4" s="47">
        <v>4</v>
      </c>
      <c r="AZ4" s="50">
        <v>43617</v>
      </c>
      <c r="BA4" s="123">
        <v>45808</v>
      </c>
      <c r="BB4" s="47" t="s">
        <v>106</v>
      </c>
      <c r="BC4" s="47"/>
      <c r="BD4" s="47"/>
      <c r="BE4" s="47"/>
      <c r="BF4" s="37"/>
      <c r="BG4" s="47"/>
      <c r="BH4" s="37" t="s">
        <v>198</v>
      </c>
      <c r="BI4" s="37"/>
      <c r="BJ4" s="37"/>
      <c r="BK4" s="47"/>
      <c r="BL4" s="268" t="s">
        <v>199</v>
      </c>
      <c r="BM4" s="47" t="s">
        <v>109</v>
      </c>
      <c r="BN4" s="37" t="s">
        <v>110</v>
      </c>
      <c r="BO4" s="47">
        <v>2019.6</v>
      </c>
      <c r="BP4" s="58" t="s">
        <v>200</v>
      </c>
      <c r="BQ4" s="269" t="s">
        <v>201</v>
      </c>
      <c r="BR4" s="47">
        <v>2019.6</v>
      </c>
      <c r="BS4" s="47" t="s">
        <v>111</v>
      </c>
      <c r="BT4" s="47"/>
      <c r="BU4" s="206" t="s">
        <v>164</v>
      </c>
      <c r="BV4" s="47"/>
      <c r="BW4" s="47"/>
      <c r="BX4" s="200">
        <v>43617</v>
      </c>
      <c r="BY4" s="197">
        <v>1988</v>
      </c>
      <c r="BZ4" s="47">
        <v>10</v>
      </c>
      <c r="CA4" s="47">
        <v>30</v>
      </c>
    </row>
    <row r="5" s="103" customFormat="1" ht="31" customHeight="1" spans="1:79">
      <c r="A5" s="47">
        <v>4</v>
      </c>
      <c r="B5" s="47" t="s">
        <v>202</v>
      </c>
      <c r="C5" s="47" t="s">
        <v>203</v>
      </c>
      <c r="D5" s="111" t="str">
        <f t="shared" si="0"/>
        <v>男</v>
      </c>
      <c r="E5" s="47" t="s">
        <v>139</v>
      </c>
      <c r="F5" s="47" t="s">
        <v>144</v>
      </c>
      <c r="G5" s="37" t="s">
        <v>153</v>
      </c>
      <c r="H5" s="123">
        <v>44706</v>
      </c>
      <c r="I5" s="111">
        <v>13257231992</v>
      </c>
      <c r="J5" s="270" t="s">
        <v>204</v>
      </c>
      <c r="K5" s="138" t="s">
        <v>205</v>
      </c>
      <c r="L5" s="37" t="s">
        <v>206</v>
      </c>
      <c r="M5" s="47" t="s">
        <v>149</v>
      </c>
      <c r="N5" s="37" t="s">
        <v>206</v>
      </c>
      <c r="O5" s="32" t="str">
        <f t="shared" si="1"/>
        <v>1992-11-06</v>
      </c>
      <c r="P5" s="34">
        <f ca="1" t="shared" si="2"/>
        <v>34</v>
      </c>
      <c r="Q5" s="47">
        <f ca="1" t="shared" si="3"/>
        <v>4</v>
      </c>
      <c r="R5" s="28" t="s">
        <v>88</v>
      </c>
      <c r="S5" s="47" t="s">
        <v>89</v>
      </c>
      <c r="T5" s="111" t="s">
        <v>90</v>
      </c>
      <c r="U5" s="47" t="s">
        <v>91</v>
      </c>
      <c r="V5" s="47" t="s">
        <v>92</v>
      </c>
      <c r="W5" s="47"/>
      <c r="X5" s="47"/>
      <c r="Y5" s="37" t="s">
        <v>207</v>
      </c>
      <c r="Z5" s="47">
        <v>2021.5</v>
      </c>
      <c r="AA5" s="47">
        <v>2022.5</v>
      </c>
      <c r="AB5" s="47" t="s">
        <v>153</v>
      </c>
      <c r="AC5" s="47"/>
      <c r="AD5" s="47"/>
      <c r="AE5" s="47"/>
      <c r="AF5" s="47" t="s">
        <v>208</v>
      </c>
      <c r="AG5" s="37" t="s">
        <v>209</v>
      </c>
      <c r="AH5" s="47" t="s">
        <v>210</v>
      </c>
      <c r="AI5" s="47">
        <v>2008.9</v>
      </c>
      <c r="AJ5" s="47">
        <v>2011.6</v>
      </c>
      <c r="AK5" s="47"/>
      <c r="AL5" s="37" t="s">
        <v>211</v>
      </c>
      <c r="AM5" s="47"/>
      <c r="AN5" s="111" t="s">
        <v>99</v>
      </c>
      <c r="AO5" s="37" t="s">
        <v>206</v>
      </c>
      <c r="AP5" s="37" t="s">
        <v>212</v>
      </c>
      <c r="AQ5" s="47" t="s">
        <v>213</v>
      </c>
      <c r="AR5" s="47" t="s">
        <v>214</v>
      </c>
      <c r="AS5" s="47">
        <v>28</v>
      </c>
      <c r="AT5" s="47" t="s">
        <v>215</v>
      </c>
      <c r="AU5" s="47" t="s">
        <v>213</v>
      </c>
      <c r="AV5" s="47" t="s">
        <v>104</v>
      </c>
      <c r="AW5" s="111">
        <v>13257231992</v>
      </c>
      <c r="AX5" s="37" t="s">
        <v>216</v>
      </c>
      <c r="AY5" s="47">
        <v>2</v>
      </c>
      <c r="AZ5" s="123">
        <v>44774</v>
      </c>
      <c r="BA5" s="123">
        <v>45869</v>
      </c>
      <c r="BB5" s="47" t="s">
        <v>106</v>
      </c>
      <c r="BC5" s="47"/>
      <c r="BD5" s="47"/>
      <c r="BE5" s="47"/>
      <c r="BF5" s="37"/>
      <c r="BG5" s="47"/>
      <c r="BH5" s="37" t="s">
        <v>217</v>
      </c>
      <c r="BI5" s="37"/>
      <c r="BJ5" s="37"/>
      <c r="BK5" s="47"/>
      <c r="BL5" s="268" t="s">
        <v>218</v>
      </c>
      <c r="BM5" s="47" t="s">
        <v>109</v>
      </c>
      <c r="BN5" s="37" t="s">
        <v>110</v>
      </c>
      <c r="BO5" s="47">
        <v>2022.8</v>
      </c>
      <c r="BP5" s="58"/>
      <c r="BQ5" s="37"/>
      <c r="BR5" s="47">
        <v>2022.8</v>
      </c>
      <c r="BS5" s="47" t="s">
        <v>111</v>
      </c>
      <c r="BT5" s="47"/>
      <c r="BU5" s="206" t="s">
        <v>219</v>
      </c>
      <c r="BV5" s="47"/>
      <c r="BW5" s="47"/>
      <c r="BX5" s="180">
        <v>44774</v>
      </c>
      <c r="BY5" s="197">
        <v>1992</v>
      </c>
      <c r="BZ5" s="47">
        <v>11</v>
      </c>
      <c r="CA5" s="47">
        <v>6</v>
      </c>
    </row>
    <row r="6" s="103" customFormat="1" ht="31" customHeight="1" spans="1:79">
      <c r="A6" s="47">
        <v>5</v>
      </c>
      <c r="B6" s="47" t="s">
        <v>220</v>
      </c>
      <c r="C6" s="58" t="s">
        <v>221</v>
      </c>
      <c r="D6" s="111" t="str">
        <f t="shared" si="0"/>
        <v>女</v>
      </c>
      <c r="E6" s="47" t="s">
        <v>139</v>
      </c>
      <c r="F6" s="47" t="s">
        <v>144</v>
      </c>
      <c r="G6" s="116" t="s">
        <v>222</v>
      </c>
      <c r="H6" s="118">
        <v>42309</v>
      </c>
      <c r="I6" s="58">
        <v>13477384826</v>
      </c>
      <c r="J6" s="131" t="s">
        <v>223</v>
      </c>
      <c r="K6" s="28" t="s">
        <v>224</v>
      </c>
      <c r="L6" s="58" t="s">
        <v>225</v>
      </c>
      <c r="M6" s="47" t="s">
        <v>149</v>
      </c>
      <c r="N6" s="58" t="s">
        <v>226</v>
      </c>
      <c r="O6" s="32" t="str">
        <f t="shared" si="1"/>
        <v>1975-06-03</v>
      </c>
      <c r="P6" s="34">
        <f ca="1" t="shared" si="2"/>
        <v>51</v>
      </c>
      <c r="Q6" s="47">
        <f ca="1" t="shared" si="3"/>
        <v>10</v>
      </c>
      <c r="R6" s="28" t="s">
        <v>88</v>
      </c>
      <c r="S6" s="47" t="s">
        <v>89</v>
      </c>
      <c r="T6" s="28" t="s">
        <v>90</v>
      </c>
      <c r="U6" s="47" t="s">
        <v>91</v>
      </c>
      <c r="V6" s="47" t="s">
        <v>92</v>
      </c>
      <c r="W6" s="47"/>
      <c r="X6" s="47"/>
      <c r="Y6" s="37" t="s">
        <v>227</v>
      </c>
      <c r="Z6" s="47">
        <v>2011.3</v>
      </c>
      <c r="AA6" s="65">
        <v>2015.1</v>
      </c>
      <c r="AB6" s="47" t="s">
        <v>228</v>
      </c>
      <c r="AC6" s="47"/>
      <c r="AD6" s="47" t="s">
        <v>229</v>
      </c>
      <c r="AE6" s="47">
        <v>13797974099</v>
      </c>
      <c r="AF6" s="58" t="s">
        <v>96</v>
      </c>
      <c r="AG6" s="37" t="s">
        <v>97</v>
      </c>
      <c r="AH6" s="58"/>
      <c r="AI6" s="47">
        <v>1990.9</v>
      </c>
      <c r="AJ6" s="47">
        <v>1993.7</v>
      </c>
      <c r="AK6" s="47"/>
      <c r="AL6" s="47" t="s">
        <v>230</v>
      </c>
      <c r="AM6" s="47"/>
      <c r="AN6" s="111" t="s">
        <v>99</v>
      </c>
      <c r="AO6" s="58" t="s">
        <v>226</v>
      </c>
      <c r="AP6" s="103" t="s">
        <v>176</v>
      </c>
      <c r="AQ6" s="37" t="s">
        <v>231</v>
      </c>
      <c r="AR6" s="47" t="s">
        <v>102</v>
      </c>
      <c r="AS6" s="47">
        <v>50</v>
      </c>
      <c r="AT6" s="47" t="s">
        <v>232</v>
      </c>
      <c r="AU6" s="47" t="s">
        <v>231</v>
      </c>
      <c r="AV6" s="47" t="s">
        <v>104</v>
      </c>
      <c r="AW6" s="28">
        <v>15971969791</v>
      </c>
      <c r="AX6" s="175" t="s">
        <v>161</v>
      </c>
      <c r="AY6" s="47">
        <v>5</v>
      </c>
      <c r="AZ6" s="177">
        <v>42309</v>
      </c>
      <c r="BA6" s="123">
        <v>45961</v>
      </c>
      <c r="BB6" s="47" t="s">
        <v>233</v>
      </c>
      <c r="BC6" s="47"/>
      <c r="BD6" s="47"/>
      <c r="BE6" s="47"/>
      <c r="BF6" s="37"/>
      <c r="BG6" s="47">
        <v>474631118</v>
      </c>
      <c r="BH6" s="37" t="s">
        <v>234</v>
      </c>
      <c r="BI6" s="37"/>
      <c r="BJ6" s="37"/>
      <c r="BK6" s="47"/>
      <c r="BL6" s="268" t="s">
        <v>235</v>
      </c>
      <c r="BM6" s="47" t="s">
        <v>109</v>
      </c>
      <c r="BN6" s="37" t="s">
        <v>110</v>
      </c>
      <c r="BO6" s="47">
        <v>2015.11</v>
      </c>
      <c r="BP6" s="131" t="s">
        <v>236</v>
      </c>
      <c r="BQ6" s="269" t="s">
        <v>237</v>
      </c>
      <c r="BR6" s="47">
        <v>2016.7</v>
      </c>
      <c r="BS6" s="47" t="s">
        <v>111</v>
      </c>
      <c r="BT6" s="47"/>
      <c r="BU6" s="206" t="s">
        <v>164</v>
      </c>
      <c r="BV6" s="47"/>
      <c r="BW6" s="47"/>
      <c r="BX6" s="209">
        <v>42309</v>
      </c>
      <c r="BY6" s="197">
        <v>1975</v>
      </c>
      <c r="BZ6" s="47">
        <v>6</v>
      </c>
      <c r="CA6" s="47">
        <v>3</v>
      </c>
    </row>
    <row r="7" s="101" customFormat="1" ht="31" customHeight="1" spans="1:79">
      <c r="A7" s="47">
        <v>6</v>
      </c>
      <c r="B7" s="47" t="s">
        <v>238</v>
      </c>
      <c r="C7" s="8" t="s">
        <v>239</v>
      </c>
      <c r="D7" s="111" t="str">
        <f t="shared" si="0"/>
        <v>女</v>
      </c>
      <c r="E7" s="47" t="s">
        <v>139</v>
      </c>
      <c r="F7" s="9" t="s">
        <v>144</v>
      </c>
      <c r="G7" s="17" t="s">
        <v>240</v>
      </c>
      <c r="H7" s="24">
        <v>45505</v>
      </c>
      <c r="I7" s="132" t="s">
        <v>241</v>
      </c>
      <c r="J7" s="271" t="s">
        <v>242</v>
      </c>
      <c r="K7" s="134" t="s">
        <v>85</v>
      </c>
      <c r="L7" s="135" t="s">
        <v>243</v>
      </c>
      <c r="M7" s="9" t="s">
        <v>149</v>
      </c>
      <c r="N7" s="135" t="s">
        <v>244</v>
      </c>
      <c r="O7" s="32" t="str">
        <f t="shared" si="1"/>
        <v>1968-11-01</v>
      </c>
      <c r="P7" s="34">
        <f ca="1" t="shared" si="2"/>
        <v>58</v>
      </c>
      <c r="Q7" s="9">
        <f ca="1" t="shared" si="3"/>
        <v>1</v>
      </c>
      <c r="R7" s="28" t="s">
        <v>88</v>
      </c>
      <c r="S7" s="9" t="s">
        <v>245</v>
      </c>
      <c r="T7" s="8" t="s">
        <v>90</v>
      </c>
      <c r="U7" s="9" t="s">
        <v>91</v>
      </c>
      <c r="V7" s="9" t="s">
        <v>92</v>
      </c>
      <c r="W7" s="9"/>
      <c r="X7" s="9"/>
      <c r="Y7" s="47" t="s">
        <v>246</v>
      </c>
      <c r="Z7" s="9">
        <v>2024.3</v>
      </c>
      <c r="AA7" s="9">
        <v>2024.7</v>
      </c>
      <c r="AB7" s="9" t="s">
        <v>247</v>
      </c>
      <c r="AC7" s="9"/>
      <c r="AD7" s="9" t="s">
        <v>248</v>
      </c>
      <c r="AE7" s="9">
        <v>18475684047</v>
      </c>
      <c r="AF7" s="151" t="s">
        <v>122</v>
      </c>
      <c r="AG7" s="49" t="s">
        <v>249</v>
      </c>
      <c r="AH7" s="151"/>
      <c r="AI7" s="9">
        <v>1980.9</v>
      </c>
      <c r="AJ7" s="9">
        <v>1983.7</v>
      </c>
      <c r="AK7" s="9"/>
      <c r="AL7" s="9"/>
      <c r="AM7" s="45"/>
      <c r="AN7" s="162" t="s">
        <v>99</v>
      </c>
      <c r="AO7" s="135" t="s">
        <v>243</v>
      </c>
      <c r="AP7" s="9" t="s">
        <v>176</v>
      </c>
      <c r="AQ7" s="47" t="s">
        <v>250</v>
      </c>
      <c r="AR7" s="9" t="s">
        <v>102</v>
      </c>
      <c r="AS7" s="9">
        <v>61</v>
      </c>
      <c r="AT7" s="9" t="s">
        <v>159</v>
      </c>
      <c r="AU7" s="9" t="s">
        <v>251</v>
      </c>
      <c r="AV7" s="9" t="s">
        <v>197</v>
      </c>
      <c r="AW7" s="173">
        <v>15625264779</v>
      </c>
      <c r="AX7" s="49" t="s">
        <v>216</v>
      </c>
      <c r="AY7" s="9">
        <v>0</v>
      </c>
      <c r="AZ7" s="123">
        <v>45505</v>
      </c>
      <c r="BA7" s="186">
        <v>46599</v>
      </c>
      <c r="BB7" s="9" t="s">
        <v>106</v>
      </c>
      <c r="BC7" s="185"/>
      <c r="BD7" s="53"/>
      <c r="BE7" s="24"/>
      <c r="BF7" s="188"/>
      <c r="BG7" s="53"/>
      <c r="BH7" s="49"/>
      <c r="BI7" s="49"/>
      <c r="BJ7" s="49"/>
      <c r="BK7" s="47"/>
      <c r="BL7" s="272" t="s">
        <v>252</v>
      </c>
      <c r="BM7" s="9"/>
      <c r="BN7" s="9"/>
      <c r="BO7" s="9"/>
      <c r="BP7" s="58"/>
      <c r="BQ7" s="49"/>
      <c r="BR7" s="9"/>
      <c r="BS7" s="9" t="s">
        <v>253</v>
      </c>
      <c r="BT7" s="9"/>
      <c r="BU7" s="199" t="s">
        <v>164</v>
      </c>
      <c r="BV7" s="47"/>
      <c r="BW7" s="47"/>
      <c r="BX7" s="180">
        <v>45505</v>
      </c>
      <c r="BY7" s="247">
        <v>1968</v>
      </c>
      <c r="BZ7" s="9">
        <v>11</v>
      </c>
      <c r="CA7" s="9">
        <v>1</v>
      </c>
    </row>
    <row r="8" s="103" customFormat="1" ht="31" customHeight="1" spans="1:79">
      <c r="A8" s="47">
        <v>7</v>
      </c>
      <c r="B8" s="47" t="s">
        <v>254</v>
      </c>
      <c r="C8" s="111" t="s">
        <v>255</v>
      </c>
      <c r="D8" s="111" t="str">
        <f t="shared" si="0"/>
        <v>男</v>
      </c>
      <c r="E8" s="47" t="s">
        <v>139</v>
      </c>
      <c r="F8" s="47" t="s">
        <v>144</v>
      </c>
      <c r="G8" s="117" t="s">
        <v>256</v>
      </c>
      <c r="H8" s="18">
        <v>43566</v>
      </c>
      <c r="I8" s="111">
        <v>17573048926</v>
      </c>
      <c r="J8" s="27" t="s">
        <v>257</v>
      </c>
      <c r="K8" s="28" t="s">
        <v>258</v>
      </c>
      <c r="L8" s="28" t="s">
        <v>259</v>
      </c>
      <c r="M8" s="47" t="s">
        <v>149</v>
      </c>
      <c r="N8" s="37" t="s">
        <v>144</v>
      </c>
      <c r="O8" s="32" t="str">
        <f t="shared" si="1"/>
        <v>1962-10-14</v>
      </c>
      <c r="P8" s="34">
        <f ca="1" t="shared" si="2"/>
        <v>64</v>
      </c>
      <c r="Q8" s="47">
        <f ca="1" t="shared" si="3"/>
        <v>7</v>
      </c>
      <c r="R8" s="28" t="s">
        <v>88</v>
      </c>
      <c r="S8" s="47" t="s">
        <v>245</v>
      </c>
      <c r="T8" s="28" t="s">
        <v>90</v>
      </c>
      <c r="U8" s="47" t="s">
        <v>91</v>
      </c>
      <c r="V8" s="47" t="s">
        <v>92</v>
      </c>
      <c r="W8" s="47"/>
      <c r="X8" s="47"/>
      <c r="Y8" s="47"/>
      <c r="Z8" s="47"/>
      <c r="AA8" s="47"/>
      <c r="AB8" s="47"/>
      <c r="AC8" s="47"/>
      <c r="AD8" s="47"/>
      <c r="AE8" s="47"/>
      <c r="AF8" s="238" t="s">
        <v>96</v>
      </c>
      <c r="AG8" s="37"/>
      <c r="AH8" s="240"/>
      <c r="AI8" s="47"/>
      <c r="AJ8" s="47"/>
      <c r="AK8" s="47"/>
      <c r="AL8" s="47"/>
      <c r="AM8" s="47"/>
      <c r="AN8" s="111" t="s">
        <v>99</v>
      </c>
      <c r="AO8" s="37" t="s">
        <v>259</v>
      </c>
      <c r="AP8" s="37" t="s">
        <v>212</v>
      </c>
      <c r="AQ8" s="47" t="s">
        <v>260</v>
      </c>
      <c r="AR8" s="47" t="s">
        <v>214</v>
      </c>
      <c r="AS8" s="47">
        <v>56</v>
      </c>
      <c r="AT8" s="47"/>
      <c r="AU8" s="47" t="s">
        <v>260</v>
      </c>
      <c r="AV8" s="47" t="s">
        <v>104</v>
      </c>
      <c r="AW8" s="28">
        <v>15197034471</v>
      </c>
      <c r="AX8" s="37" t="s">
        <v>261</v>
      </c>
      <c r="AY8" s="47">
        <v>5</v>
      </c>
      <c r="AZ8" s="50">
        <v>43656</v>
      </c>
      <c r="BA8" s="123">
        <v>45847</v>
      </c>
      <c r="BB8" s="47" t="s">
        <v>106</v>
      </c>
      <c r="BC8" s="47"/>
      <c r="BD8" s="47"/>
      <c r="BE8" s="47"/>
      <c r="BF8" s="37"/>
      <c r="BG8" s="47"/>
      <c r="BH8" s="37"/>
      <c r="BI8" s="37"/>
      <c r="BJ8" s="37"/>
      <c r="BK8" s="47"/>
      <c r="BL8" s="268" t="s">
        <v>262</v>
      </c>
      <c r="BM8" s="47"/>
      <c r="BN8" s="47"/>
      <c r="BO8" s="47"/>
      <c r="BP8" s="58"/>
      <c r="BQ8" s="37"/>
      <c r="BR8" s="47"/>
      <c r="BS8" s="47" t="s">
        <v>111</v>
      </c>
      <c r="BT8" s="47">
        <v>503</v>
      </c>
      <c r="BU8" s="206" t="s">
        <v>164</v>
      </c>
      <c r="BV8" s="47"/>
      <c r="BW8" s="47"/>
      <c r="BX8" s="200">
        <v>43656</v>
      </c>
      <c r="BY8" s="197">
        <v>1962</v>
      </c>
      <c r="BZ8" s="47">
        <v>10</v>
      </c>
      <c r="CA8" s="47">
        <v>14</v>
      </c>
    </row>
    <row r="9" s="103" customFormat="1" ht="31" customHeight="1" spans="1:79">
      <c r="A9" s="47">
        <v>8</v>
      </c>
      <c r="B9" s="47" t="s">
        <v>263</v>
      </c>
      <c r="C9" s="47" t="s">
        <v>264</v>
      </c>
      <c r="D9" s="111" t="str">
        <f t="shared" si="0"/>
        <v>女</v>
      </c>
      <c r="E9" s="47" t="s">
        <v>139</v>
      </c>
      <c r="F9" s="47" t="s">
        <v>144</v>
      </c>
      <c r="G9" s="47" t="s">
        <v>247</v>
      </c>
      <c r="H9" s="123">
        <v>45708</v>
      </c>
      <c r="I9" s="47">
        <v>15871989405</v>
      </c>
      <c r="J9" s="47" t="s">
        <v>265</v>
      </c>
      <c r="K9" s="47" t="s">
        <v>116</v>
      </c>
      <c r="L9" s="37" t="s">
        <v>266</v>
      </c>
      <c r="M9" s="47" t="s">
        <v>149</v>
      </c>
      <c r="N9" s="37" t="s">
        <v>266</v>
      </c>
      <c r="O9" s="32" t="s">
        <v>267</v>
      </c>
      <c r="P9" s="34">
        <f ca="1" t="shared" si="2"/>
        <v>50</v>
      </c>
      <c r="Q9" s="47">
        <v>2</v>
      </c>
      <c r="R9" s="47" t="s">
        <v>88</v>
      </c>
      <c r="S9" s="47" t="s">
        <v>245</v>
      </c>
      <c r="T9" s="47" t="s">
        <v>90</v>
      </c>
      <c r="U9" s="47" t="s">
        <v>91</v>
      </c>
      <c r="V9" s="47" t="s">
        <v>92</v>
      </c>
      <c r="W9" s="47"/>
      <c r="X9" s="47"/>
      <c r="Y9" s="47" t="s">
        <v>268</v>
      </c>
      <c r="Z9" s="47">
        <v>2009</v>
      </c>
      <c r="AA9" s="47">
        <v>2011</v>
      </c>
      <c r="AB9" s="47" t="s">
        <v>268</v>
      </c>
      <c r="AC9" s="47"/>
      <c r="AD9" s="47"/>
      <c r="AE9" s="47"/>
      <c r="AF9" s="47" t="s">
        <v>96</v>
      </c>
      <c r="AG9" s="47"/>
      <c r="AH9" s="47"/>
      <c r="AI9" s="47">
        <v>1981</v>
      </c>
      <c r="AJ9" s="47">
        <v>1992</v>
      </c>
      <c r="AK9" s="47"/>
      <c r="AL9" s="47"/>
      <c r="AM9" s="47"/>
      <c r="AN9" s="47" t="s">
        <v>99</v>
      </c>
      <c r="AO9" s="37" t="s">
        <v>266</v>
      </c>
      <c r="AP9" s="47" t="s">
        <v>123</v>
      </c>
      <c r="AQ9" s="47" t="s">
        <v>269</v>
      </c>
      <c r="AR9" s="47" t="s">
        <v>102</v>
      </c>
      <c r="AS9" s="47">
        <v>20</v>
      </c>
      <c r="AT9" s="47" t="s">
        <v>270</v>
      </c>
      <c r="AU9" s="47" t="s">
        <v>269</v>
      </c>
      <c r="AV9" s="47" t="s">
        <v>123</v>
      </c>
      <c r="AW9" s="47">
        <v>13867969713</v>
      </c>
      <c r="AX9" s="37" t="s">
        <v>271</v>
      </c>
      <c r="AY9" s="47"/>
      <c r="AZ9" s="123">
        <v>45708</v>
      </c>
      <c r="BA9" s="123">
        <v>46072</v>
      </c>
      <c r="BB9" s="47" t="s">
        <v>106</v>
      </c>
      <c r="BC9" s="47"/>
      <c r="BD9" s="47"/>
      <c r="BE9" s="47"/>
      <c r="BF9" s="47"/>
      <c r="BG9" s="47"/>
      <c r="BH9" s="37" t="s">
        <v>272</v>
      </c>
      <c r="BI9" s="47"/>
      <c r="BJ9" s="47"/>
      <c r="BK9" s="47"/>
      <c r="BL9" s="269" t="s">
        <v>273</v>
      </c>
      <c r="BM9" s="185"/>
      <c r="BN9" s="198"/>
      <c r="BO9" s="185" t="s">
        <v>274</v>
      </c>
      <c r="BP9" s="185"/>
      <c r="BQ9" s="185"/>
      <c r="BR9" s="185">
        <v>2025.05</v>
      </c>
      <c r="BS9" s="47" t="s">
        <v>111</v>
      </c>
      <c r="BT9" s="47"/>
      <c r="BU9" s="63" t="s">
        <v>275</v>
      </c>
      <c r="BV9" s="47"/>
      <c r="BW9" s="47"/>
      <c r="BX9" s="211" t="s">
        <v>276</v>
      </c>
      <c r="BY9" s="197">
        <v>1976</v>
      </c>
      <c r="BZ9" s="47">
        <v>1</v>
      </c>
      <c r="CA9" s="47">
        <v>8</v>
      </c>
    </row>
    <row r="10" s="103" customFormat="1" ht="31" customHeight="1" spans="1:79">
      <c r="A10" s="47">
        <v>9</v>
      </c>
      <c r="B10" s="47" t="s">
        <v>277</v>
      </c>
      <c r="C10" s="111" t="s">
        <v>160</v>
      </c>
      <c r="D10" s="111" t="str">
        <f t="shared" si="0"/>
        <v>女</v>
      </c>
      <c r="E10" s="47" t="s">
        <v>278</v>
      </c>
      <c r="F10" s="47" t="s">
        <v>144</v>
      </c>
      <c r="G10" s="117" t="s">
        <v>279</v>
      </c>
      <c r="H10" s="18">
        <v>43380</v>
      </c>
      <c r="I10" s="111">
        <v>13477371019</v>
      </c>
      <c r="J10" s="27" t="s">
        <v>280</v>
      </c>
      <c r="K10" s="28" t="s">
        <v>224</v>
      </c>
      <c r="L10" s="28" t="s">
        <v>281</v>
      </c>
      <c r="M10" s="47" t="s">
        <v>282</v>
      </c>
      <c r="N10" s="28" t="s">
        <v>148</v>
      </c>
      <c r="O10" s="32" t="str">
        <f t="shared" ref="O10:O73" si="4">TEXT(MID(J10,7,8),"0-00-00")</f>
        <v>1980-01-17</v>
      </c>
      <c r="P10" s="34">
        <f ca="1" t="shared" si="2"/>
        <v>46</v>
      </c>
      <c r="Q10" s="47">
        <f ca="1" t="shared" ref="Q10:Q17" si="5">IF(H10="","",DATEDIF(H10,TODAY(),"Y"))</f>
        <v>7</v>
      </c>
      <c r="R10" s="28" t="s">
        <v>88</v>
      </c>
      <c r="S10" s="47" t="s">
        <v>89</v>
      </c>
      <c r="T10" s="58" t="s">
        <v>90</v>
      </c>
      <c r="U10" s="47" t="s">
        <v>91</v>
      </c>
      <c r="V10" s="47" t="s">
        <v>92</v>
      </c>
      <c r="W10" s="47" t="s">
        <v>279</v>
      </c>
      <c r="X10" s="47"/>
      <c r="Y10" s="37" t="s">
        <v>283</v>
      </c>
      <c r="Z10" s="47">
        <v>2018.4</v>
      </c>
      <c r="AA10" s="47">
        <v>2018.9</v>
      </c>
      <c r="AB10" s="47" t="s">
        <v>284</v>
      </c>
      <c r="AC10" s="47"/>
      <c r="AD10" s="47"/>
      <c r="AE10" s="47"/>
      <c r="AF10" s="111" t="s">
        <v>154</v>
      </c>
      <c r="AG10" s="37" t="s">
        <v>155</v>
      </c>
      <c r="AH10" s="28" t="s">
        <v>156</v>
      </c>
      <c r="AI10" s="47">
        <v>2010.4</v>
      </c>
      <c r="AJ10" s="47">
        <v>2012.12</v>
      </c>
      <c r="AK10" s="47" t="s">
        <v>285</v>
      </c>
      <c r="AL10" s="47" t="s">
        <v>286</v>
      </c>
      <c r="AM10" s="47"/>
      <c r="AN10" s="111" t="s">
        <v>99</v>
      </c>
      <c r="AO10" s="28" t="s">
        <v>148</v>
      </c>
      <c r="AP10" s="37" t="s">
        <v>176</v>
      </c>
      <c r="AQ10" s="47" t="s">
        <v>143</v>
      </c>
      <c r="AR10" s="47" t="s">
        <v>102</v>
      </c>
      <c r="AS10" s="47">
        <v>45</v>
      </c>
      <c r="AT10" s="47" t="s">
        <v>232</v>
      </c>
      <c r="AU10" s="47" t="s">
        <v>143</v>
      </c>
      <c r="AV10" s="47" t="s">
        <v>104</v>
      </c>
      <c r="AW10" s="28">
        <v>13197133302</v>
      </c>
      <c r="AX10" s="37" t="s">
        <v>287</v>
      </c>
      <c r="AY10" s="47">
        <v>4</v>
      </c>
      <c r="AZ10" s="50">
        <v>43466</v>
      </c>
      <c r="BA10" s="123">
        <v>46022</v>
      </c>
      <c r="BB10" s="47" t="s">
        <v>106</v>
      </c>
      <c r="BC10" s="47"/>
      <c r="BD10" s="47"/>
      <c r="BE10" s="47"/>
      <c r="BF10" s="37"/>
      <c r="BG10" s="47"/>
      <c r="BH10" s="37" t="s">
        <v>288</v>
      </c>
      <c r="BI10" s="37"/>
      <c r="BJ10" s="37"/>
      <c r="BK10" s="47"/>
      <c r="BL10" s="268" t="s">
        <v>289</v>
      </c>
      <c r="BM10" s="47" t="s">
        <v>109</v>
      </c>
      <c r="BN10" s="37" t="s">
        <v>110</v>
      </c>
      <c r="BO10" s="47">
        <v>2019.1</v>
      </c>
      <c r="BP10" s="58"/>
      <c r="BQ10" s="37"/>
      <c r="BR10" s="47">
        <v>2019.1</v>
      </c>
      <c r="BS10" s="47" t="s">
        <v>111</v>
      </c>
      <c r="BT10" s="47"/>
      <c r="BU10" s="206" t="s">
        <v>164</v>
      </c>
      <c r="BV10" s="47"/>
      <c r="BW10" s="47"/>
      <c r="BX10" s="200">
        <v>43466</v>
      </c>
      <c r="BY10" s="197">
        <v>1980</v>
      </c>
      <c r="BZ10" s="47">
        <v>1</v>
      </c>
      <c r="CA10" s="47">
        <v>17</v>
      </c>
    </row>
    <row r="11" s="103" customFormat="1" ht="31" customHeight="1" spans="1:79">
      <c r="A11" s="47">
        <v>10</v>
      </c>
      <c r="B11" s="47" t="s">
        <v>290</v>
      </c>
      <c r="C11" s="111" t="s">
        <v>291</v>
      </c>
      <c r="D11" s="111" t="str">
        <f t="shared" si="0"/>
        <v>女</v>
      </c>
      <c r="E11" s="47" t="s">
        <v>278</v>
      </c>
      <c r="F11" s="47" t="s">
        <v>144</v>
      </c>
      <c r="G11" s="196" t="s">
        <v>284</v>
      </c>
      <c r="H11" s="18">
        <v>43922</v>
      </c>
      <c r="I11" s="111">
        <v>13797928108</v>
      </c>
      <c r="J11" s="27" t="s">
        <v>292</v>
      </c>
      <c r="K11" s="28" t="s">
        <v>293</v>
      </c>
      <c r="L11" s="28" t="s">
        <v>294</v>
      </c>
      <c r="M11" s="47" t="s">
        <v>282</v>
      </c>
      <c r="N11" s="28" t="s">
        <v>295</v>
      </c>
      <c r="O11" s="32" t="str">
        <f t="shared" si="4"/>
        <v>1967-03-08</v>
      </c>
      <c r="P11" s="34">
        <f ca="1" t="shared" si="2"/>
        <v>59</v>
      </c>
      <c r="Q11" s="47">
        <f ca="1" t="shared" si="5"/>
        <v>6</v>
      </c>
      <c r="R11" s="28" t="s">
        <v>88</v>
      </c>
      <c r="S11" s="47" t="s">
        <v>245</v>
      </c>
      <c r="T11" s="28" t="s">
        <v>90</v>
      </c>
      <c r="U11" s="47" t="s">
        <v>91</v>
      </c>
      <c r="V11" s="47" t="s">
        <v>92</v>
      </c>
      <c r="W11" s="47"/>
      <c r="X11" s="47"/>
      <c r="Y11" s="47" t="s">
        <v>296</v>
      </c>
      <c r="Z11" s="47">
        <v>1986.1</v>
      </c>
      <c r="AA11" s="47">
        <v>2020.3</v>
      </c>
      <c r="AB11" s="47" t="s">
        <v>284</v>
      </c>
      <c r="AC11" s="47"/>
      <c r="AD11" s="47"/>
      <c r="AE11" s="47">
        <v>13593783456</v>
      </c>
      <c r="AF11" s="157" t="s">
        <v>154</v>
      </c>
      <c r="AG11" s="37" t="s">
        <v>297</v>
      </c>
      <c r="AH11" s="157" t="s">
        <v>298</v>
      </c>
      <c r="AI11" s="47">
        <v>1987.7</v>
      </c>
      <c r="AJ11" s="47">
        <v>1990.7</v>
      </c>
      <c r="AK11" s="47" t="s">
        <v>285</v>
      </c>
      <c r="AL11" s="47" t="s">
        <v>286</v>
      </c>
      <c r="AM11" s="47"/>
      <c r="AN11" s="111" t="s">
        <v>99</v>
      </c>
      <c r="AO11" s="28" t="s">
        <v>295</v>
      </c>
      <c r="AP11" s="37" t="s">
        <v>176</v>
      </c>
      <c r="AQ11" s="47" t="s">
        <v>299</v>
      </c>
      <c r="AR11" s="47" t="s">
        <v>102</v>
      </c>
      <c r="AS11" s="47">
        <v>56</v>
      </c>
      <c r="AT11" s="47" t="s">
        <v>178</v>
      </c>
      <c r="AU11" s="47" t="s">
        <v>299</v>
      </c>
      <c r="AV11" s="47" t="s">
        <v>104</v>
      </c>
      <c r="AW11" s="28">
        <v>13593783456</v>
      </c>
      <c r="AX11" s="37" t="s">
        <v>300</v>
      </c>
      <c r="AY11" s="47">
        <v>4</v>
      </c>
      <c r="AZ11" s="50">
        <v>44013</v>
      </c>
      <c r="BA11" s="123">
        <v>45838</v>
      </c>
      <c r="BB11" s="47" t="s">
        <v>106</v>
      </c>
      <c r="BC11" s="47"/>
      <c r="BD11" s="47"/>
      <c r="BE11" s="47"/>
      <c r="BF11" s="37"/>
      <c r="BG11" s="47"/>
      <c r="BH11" s="37" t="s">
        <v>301</v>
      </c>
      <c r="BI11" s="37"/>
      <c r="BJ11" s="37"/>
      <c r="BK11" s="47"/>
      <c r="BL11" s="268" t="s">
        <v>302</v>
      </c>
      <c r="BM11" s="47"/>
      <c r="BN11" s="47"/>
      <c r="BO11" s="47"/>
      <c r="BP11" s="58"/>
      <c r="BQ11" s="37"/>
      <c r="BR11" s="47"/>
      <c r="BS11" s="47" t="s">
        <v>111</v>
      </c>
      <c r="BT11" s="47"/>
      <c r="BU11" s="206" t="s">
        <v>164</v>
      </c>
      <c r="BV11" s="47"/>
      <c r="BW11" s="47"/>
      <c r="BX11" s="200">
        <v>44013</v>
      </c>
      <c r="BY11" s="197">
        <v>1967</v>
      </c>
      <c r="BZ11" s="47">
        <v>3</v>
      </c>
      <c r="CA11" s="47">
        <v>8</v>
      </c>
    </row>
    <row r="12" s="103" customFormat="1" ht="31" customHeight="1" spans="1:79">
      <c r="A12" s="47">
        <v>11</v>
      </c>
      <c r="B12" s="47" t="s">
        <v>303</v>
      </c>
      <c r="C12" s="47" t="s">
        <v>304</v>
      </c>
      <c r="D12" s="111" t="str">
        <f t="shared" si="0"/>
        <v>女</v>
      </c>
      <c r="E12" s="47" t="s">
        <v>278</v>
      </c>
      <c r="F12" s="47" t="s">
        <v>144</v>
      </c>
      <c r="G12" s="37" t="s">
        <v>305</v>
      </c>
      <c r="H12" s="123">
        <v>44970</v>
      </c>
      <c r="I12" s="47">
        <v>15272091137</v>
      </c>
      <c r="J12" s="47" t="s">
        <v>306</v>
      </c>
      <c r="K12" s="28" t="s">
        <v>205</v>
      </c>
      <c r="L12" s="58" t="s">
        <v>307</v>
      </c>
      <c r="M12" s="47" t="s">
        <v>149</v>
      </c>
      <c r="N12" s="58" t="s">
        <v>308</v>
      </c>
      <c r="O12" s="32" t="str">
        <f t="shared" si="4"/>
        <v>1986-06-03</v>
      </c>
      <c r="P12" s="34">
        <f ca="1" t="shared" si="2"/>
        <v>40</v>
      </c>
      <c r="Q12" s="47">
        <f ca="1" t="shared" si="5"/>
        <v>3</v>
      </c>
      <c r="R12" s="28" t="s">
        <v>88</v>
      </c>
      <c r="S12" s="47" t="s">
        <v>89</v>
      </c>
      <c r="T12" s="111" t="s">
        <v>90</v>
      </c>
      <c r="U12" s="47" t="s">
        <v>91</v>
      </c>
      <c r="V12" s="47" t="s">
        <v>92</v>
      </c>
      <c r="W12" s="47"/>
      <c r="X12" s="47"/>
      <c r="Y12" s="37" t="s">
        <v>309</v>
      </c>
      <c r="Z12" s="47">
        <v>2022.9</v>
      </c>
      <c r="AA12" s="47">
        <v>2023.2</v>
      </c>
      <c r="AB12" s="47" t="s">
        <v>310</v>
      </c>
      <c r="AC12" s="47"/>
      <c r="AD12" s="47" t="s">
        <v>311</v>
      </c>
      <c r="AE12" s="47">
        <v>13627153381</v>
      </c>
      <c r="AF12" s="47" t="s">
        <v>154</v>
      </c>
      <c r="AG12" s="37" t="s">
        <v>312</v>
      </c>
      <c r="AH12" s="47" t="s">
        <v>284</v>
      </c>
      <c r="AI12" s="47">
        <v>2011.2</v>
      </c>
      <c r="AJ12" s="47">
        <v>2013.6</v>
      </c>
      <c r="AK12" s="47" t="s">
        <v>285</v>
      </c>
      <c r="AL12" s="47" t="s">
        <v>286</v>
      </c>
      <c r="AM12" s="47"/>
      <c r="AN12" s="111" t="s">
        <v>99</v>
      </c>
      <c r="AO12" s="58" t="s">
        <v>308</v>
      </c>
      <c r="AP12" s="37" t="s">
        <v>100</v>
      </c>
      <c r="AQ12" s="47" t="s">
        <v>313</v>
      </c>
      <c r="AR12" s="47" t="s">
        <v>102</v>
      </c>
      <c r="AS12" s="47">
        <v>66</v>
      </c>
      <c r="AT12" s="47" t="s">
        <v>159</v>
      </c>
      <c r="AU12" s="47" t="s">
        <v>314</v>
      </c>
      <c r="AV12" s="47" t="s">
        <v>104</v>
      </c>
      <c r="AW12" s="47">
        <v>18872431259</v>
      </c>
      <c r="AX12" s="37" t="s">
        <v>315</v>
      </c>
      <c r="AY12" s="47">
        <v>1</v>
      </c>
      <c r="AZ12" s="123">
        <v>45061</v>
      </c>
      <c r="BA12" s="123">
        <v>45791</v>
      </c>
      <c r="BB12" s="47" t="s">
        <v>106</v>
      </c>
      <c r="BC12" s="47"/>
      <c r="BD12" s="47"/>
      <c r="BE12" s="47"/>
      <c r="BF12" s="37"/>
      <c r="BG12" s="47"/>
      <c r="BH12" s="37" t="s">
        <v>316</v>
      </c>
      <c r="BI12" s="37"/>
      <c r="BJ12" s="37"/>
      <c r="BK12" s="47"/>
      <c r="BL12" s="86" t="s">
        <v>317</v>
      </c>
      <c r="BM12" s="47" t="s">
        <v>109</v>
      </c>
      <c r="BN12" s="37" t="s">
        <v>110</v>
      </c>
      <c r="BO12" s="47">
        <v>2023.6</v>
      </c>
      <c r="BP12" s="58" t="s">
        <v>318</v>
      </c>
      <c r="BQ12" s="37" t="s">
        <v>319</v>
      </c>
      <c r="BR12" s="47">
        <v>2023.6</v>
      </c>
      <c r="BS12" s="47" t="s">
        <v>111</v>
      </c>
      <c r="BT12" s="47"/>
      <c r="BU12" s="206" t="s">
        <v>320</v>
      </c>
      <c r="BV12" s="47"/>
      <c r="BW12" s="47"/>
      <c r="BX12" s="180">
        <v>45061</v>
      </c>
      <c r="BY12" s="197">
        <v>1986</v>
      </c>
      <c r="BZ12" s="47">
        <v>6</v>
      </c>
      <c r="CA12" s="47">
        <v>3</v>
      </c>
    </row>
    <row r="13" s="103" customFormat="1" ht="24" customHeight="1" spans="1:79">
      <c r="A13" s="47">
        <v>12</v>
      </c>
      <c r="B13" s="111" t="s">
        <v>321</v>
      </c>
      <c r="C13" s="47" t="s">
        <v>264</v>
      </c>
      <c r="D13" s="111" t="str">
        <f t="shared" si="0"/>
        <v>女</v>
      </c>
      <c r="E13" s="47" t="s">
        <v>278</v>
      </c>
      <c r="F13" s="47" t="s">
        <v>144</v>
      </c>
      <c r="G13" s="37" t="s">
        <v>298</v>
      </c>
      <c r="H13" s="123">
        <v>45180</v>
      </c>
      <c r="I13" s="47">
        <v>13872932293</v>
      </c>
      <c r="J13" s="63" t="s">
        <v>322</v>
      </c>
      <c r="K13" s="47" t="s">
        <v>323</v>
      </c>
      <c r="L13" s="37" t="s">
        <v>324</v>
      </c>
      <c r="M13" s="47" t="s">
        <v>282</v>
      </c>
      <c r="N13" s="37" t="s">
        <v>325</v>
      </c>
      <c r="O13" s="32" t="str">
        <f t="shared" si="4"/>
        <v>1979-06-25</v>
      </c>
      <c r="P13" s="34">
        <f ca="1" t="shared" si="2"/>
        <v>47</v>
      </c>
      <c r="Q13" s="47">
        <f ca="1" t="shared" si="5"/>
        <v>2</v>
      </c>
      <c r="R13" s="28" t="s">
        <v>88</v>
      </c>
      <c r="S13" s="47" t="s">
        <v>89</v>
      </c>
      <c r="T13" s="111" t="s">
        <v>90</v>
      </c>
      <c r="U13" s="47" t="s">
        <v>91</v>
      </c>
      <c r="V13" s="47" t="s">
        <v>92</v>
      </c>
      <c r="W13" s="47"/>
      <c r="X13" s="47"/>
      <c r="Y13" s="37" t="s">
        <v>326</v>
      </c>
      <c r="Z13" s="47">
        <v>2013.4</v>
      </c>
      <c r="AA13" s="47">
        <v>2023.8</v>
      </c>
      <c r="AB13" s="47" t="s">
        <v>327</v>
      </c>
      <c r="AC13" s="47"/>
      <c r="AD13" s="47" t="s">
        <v>328</v>
      </c>
      <c r="AE13" s="47">
        <v>13972868922</v>
      </c>
      <c r="AF13" s="47" t="s">
        <v>208</v>
      </c>
      <c r="AG13" s="37" t="s">
        <v>329</v>
      </c>
      <c r="AH13" s="47" t="s">
        <v>330</v>
      </c>
      <c r="AI13" s="47">
        <v>1994.9</v>
      </c>
      <c r="AJ13" s="47">
        <v>1998.6</v>
      </c>
      <c r="AK13" s="47"/>
      <c r="AL13" s="47"/>
      <c r="AM13" s="47"/>
      <c r="AN13" s="111" t="s">
        <v>99</v>
      </c>
      <c r="AO13" s="37" t="s">
        <v>325</v>
      </c>
      <c r="AP13" s="47" t="s">
        <v>331</v>
      </c>
      <c r="AQ13" s="47" t="s">
        <v>332</v>
      </c>
      <c r="AR13" s="47" t="s">
        <v>214</v>
      </c>
      <c r="AS13" s="47">
        <v>19</v>
      </c>
      <c r="AT13" s="47" t="s">
        <v>125</v>
      </c>
      <c r="AU13" s="47" t="s">
        <v>333</v>
      </c>
      <c r="AV13" s="47" t="s">
        <v>104</v>
      </c>
      <c r="AW13" s="47">
        <v>17371619333</v>
      </c>
      <c r="AX13" s="37" t="s">
        <v>334</v>
      </c>
      <c r="AY13" s="47">
        <v>1</v>
      </c>
      <c r="AZ13" s="123">
        <v>45180</v>
      </c>
      <c r="BA13" s="123">
        <v>46001</v>
      </c>
      <c r="BB13" s="47" t="s">
        <v>128</v>
      </c>
      <c r="BC13" s="47"/>
      <c r="BD13" s="47"/>
      <c r="BE13" s="47"/>
      <c r="BF13" s="47"/>
      <c r="BG13" s="47"/>
      <c r="BH13" s="37"/>
      <c r="BI13" s="47"/>
      <c r="BJ13" s="47"/>
      <c r="BK13" s="47"/>
      <c r="BL13" s="273" t="s">
        <v>335</v>
      </c>
      <c r="BM13" s="47" t="s">
        <v>109</v>
      </c>
      <c r="BN13" s="37" t="s">
        <v>110</v>
      </c>
      <c r="BO13" s="47">
        <v>2024.1</v>
      </c>
      <c r="BP13" s="47"/>
      <c r="BQ13" s="47"/>
      <c r="BR13" s="47">
        <v>2024.1</v>
      </c>
      <c r="BS13" s="47" t="s">
        <v>111</v>
      </c>
      <c r="BT13" s="47"/>
      <c r="BU13" s="206" t="s">
        <v>164</v>
      </c>
      <c r="BV13" s="47"/>
      <c r="BW13" s="47"/>
      <c r="BX13" s="180">
        <v>45271</v>
      </c>
      <c r="BY13" s="197">
        <v>1979</v>
      </c>
      <c r="BZ13" s="47">
        <v>6</v>
      </c>
      <c r="CA13" s="47">
        <v>25</v>
      </c>
    </row>
    <row r="14" s="103" customFormat="1" ht="24" customHeight="1" spans="1:79">
      <c r="A14" s="47">
        <v>13</v>
      </c>
      <c r="B14" s="111" t="s">
        <v>336</v>
      </c>
      <c r="C14" s="47" t="s">
        <v>337</v>
      </c>
      <c r="D14" s="111" t="str">
        <f t="shared" si="0"/>
        <v>女</v>
      </c>
      <c r="E14" s="47" t="s">
        <v>278</v>
      </c>
      <c r="F14" s="47" t="s">
        <v>144</v>
      </c>
      <c r="G14" s="124" t="s">
        <v>298</v>
      </c>
      <c r="H14" s="123">
        <v>45369</v>
      </c>
      <c r="I14" s="47">
        <v>18772688312</v>
      </c>
      <c r="J14" s="63" t="s">
        <v>338</v>
      </c>
      <c r="K14" s="47" t="s">
        <v>339</v>
      </c>
      <c r="L14" s="37" t="s">
        <v>340</v>
      </c>
      <c r="M14" s="47" t="s">
        <v>149</v>
      </c>
      <c r="N14" s="37" t="s">
        <v>244</v>
      </c>
      <c r="O14" s="32" t="str">
        <f t="shared" si="4"/>
        <v>1971-12-01</v>
      </c>
      <c r="P14" s="34">
        <f ca="1" t="shared" si="2"/>
        <v>55</v>
      </c>
      <c r="Q14" s="47">
        <f ca="1" t="shared" si="5"/>
        <v>2</v>
      </c>
      <c r="R14" s="28" t="s">
        <v>88</v>
      </c>
      <c r="S14" s="47" t="s">
        <v>245</v>
      </c>
      <c r="T14" s="111" t="s">
        <v>90</v>
      </c>
      <c r="U14" s="47" t="s">
        <v>91</v>
      </c>
      <c r="V14" s="47" t="s">
        <v>92</v>
      </c>
      <c r="W14" s="47"/>
      <c r="X14" s="47"/>
      <c r="Y14" s="37" t="s">
        <v>341</v>
      </c>
      <c r="Z14" s="47">
        <v>2022</v>
      </c>
      <c r="AA14" s="47">
        <v>2024</v>
      </c>
      <c r="AB14" s="47" t="s">
        <v>342</v>
      </c>
      <c r="AC14" s="47"/>
      <c r="AD14" s="47" t="s">
        <v>343</v>
      </c>
      <c r="AE14" s="47">
        <v>18972912831</v>
      </c>
      <c r="AF14" s="47" t="s">
        <v>208</v>
      </c>
      <c r="AG14" s="37" t="s">
        <v>344</v>
      </c>
      <c r="AH14" s="47" t="s">
        <v>345</v>
      </c>
      <c r="AI14" s="47">
        <v>1988.9</v>
      </c>
      <c r="AJ14" s="47">
        <v>1990.7</v>
      </c>
      <c r="AK14" s="47" t="s">
        <v>284</v>
      </c>
      <c r="AL14" s="163" t="s">
        <v>346</v>
      </c>
      <c r="AM14" s="47"/>
      <c r="AN14" s="111" t="s">
        <v>99</v>
      </c>
      <c r="AO14" s="37" t="s">
        <v>244</v>
      </c>
      <c r="AP14" s="47" t="s">
        <v>347</v>
      </c>
      <c r="AQ14" s="47" t="s">
        <v>348</v>
      </c>
      <c r="AR14" s="47" t="s">
        <v>214</v>
      </c>
      <c r="AS14" s="47">
        <v>83</v>
      </c>
      <c r="AT14" s="47" t="s">
        <v>159</v>
      </c>
      <c r="AU14" s="47" t="s">
        <v>349</v>
      </c>
      <c r="AV14" s="47" t="s">
        <v>350</v>
      </c>
      <c r="AW14" s="47">
        <v>15827823908</v>
      </c>
      <c r="AX14" s="37" t="s">
        <v>351</v>
      </c>
      <c r="AY14" s="47">
        <v>0</v>
      </c>
      <c r="AZ14" s="123">
        <v>45461</v>
      </c>
      <c r="BA14" s="123">
        <v>45825</v>
      </c>
      <c r="BB14" s="47" t="s">
        <v>128</v>
      </c>
      <c r="BC14" s="47" t="s">
        <v>160</v>
      </c>
      <c r="BD14" s="47"/>
      <c r="BE14" s="47"/>
      <c r="BF14" s="47"/>
      <c r="BG14" s="47"/>
      <c r="BH14" s="37"/>
      <c r="BI14" s="47"/>
      <c r="BJ14" s="47"/>
      <c r="BK14" s="47"/>
      <c r="BL14" s="273" t="s">
        <v>352</v>
      </c>
      <c r="BM14" s="47"/>
      <c r="BN14" s="37"/>
      <c r="BO14" s="47"/>
      <c r="BP14" s="47"/>
      <c r="BQ14" s="47"/>
      <c r="BR14" s="47"/>
      <c r="BS14" s="47" t="s">
        <v>111</v>
      </c>
      <c r="BT14" s="47"/>
      <c r="BU14" s="206" t="s">
        <v>353</v>
      </c>
      <c r="BV14" s="47"/>
      <c r="BW14" s="47"/>
      <c r="BX14" s="180">
        <v>45461</v>
      </c>
      <c r="BY14" s="197">
        <v>1971</v>
      </c>
      <c r="BZ14" s="47">
        <v>12</v>
      </c>
      <c r="CA14" s="47">
        <v>1</v>
      </c>
    </row>
    <row r="15" s="103" customFormat="1" ht="31" customHeight="1" spans="1:79">
      <c r="A15" s="47">
        <v>14</v>
      </c>
      <c r="B15" s="47" t="s">
        <v>354</v>
      </c>
      <c r="C15" s="111" t="s">
        <v>355</v>
      </c>
      <c r="D15" s="111" t="str">
        <f t="shared" si="0"/>
        <v>女</v>
      </c>
      <c r="E15" s="121" t="s">
        <v>356</v>
      </c>
      <c r="F15" s="47" t="s">
        <v>144</v>
      </c>
      <c r="G15" s="117" t="s">
        <v>357</v>
      </c>
      <c r="H15" s="18">
        <v>43525</v>
      </c>
      <c r="I15" s="111">
        <v>18872438626</v>
      </c>
      <c r="J15" s="27" t="s">
        <v>358</v>
      </c>
      <c r="K15" s="28" t="s">
        <v>224</v>
      </c>
      <c r="L15" s="28" t="s">
        <v>359</v>
      </c>
      <c r="M15" s="47" t="s">
        <v>187</v>
      </c>
      <c r="N15" s="28" t="s">
        <v>360</v>
      </c>
      <c r="O15" s="32" t="str">
        <f t="shared" si="4"/>
        <v>1990-11-22</v>
      </c>
      <c r="P15" s="34">
        <f ca="1" t="shared" si="2"/>
        <v>36</v>
      </c>
      <c r="Q15" s="47">
        <f ca="1" t="shared" si="5"/>
        <v>7</v>
      </c>
      <c r="R15" s="28" t="s">
        <v>88</v>
      </c>
      <c r="S15" s="47" t="s">
        <v>89</v>
      </c>
      <c r="T15" s="28" t="s">
        <v>90</v>
      </c>
      <c r="U15" s="47" t="s">
        <v>91</v>
      </c>
      <c r="V15" s="47" t="s">
        <v>92</v>
      </c>
      <c r="W15" s="47"/>
      <c r="X15" s="47"/>
      <c r="Y15" s="37" t="s">
        <v>361</v>
      </c>
      <c r="Z15" s="47">
        <v>2015.4</v>
      </c>
      <c r="AA15" s="47">
        <v>2018.8</v>
      </c>
      <c r="AB15" s="47" t="s">
        <v>121</v>
      </c>
      <c r="AC15" s="47"/>
      <c r="AD15" s="47"/>
      <c r="AE15" s="47"/>
      <c r="AF15" s="111" t="s">
        <v>208</v>
      </c>
      <c r="AG15" s="37"/>
      <c r="AH15" s="28" t="s">
        <v>362</v>
      </c>
      <c r="AI15" s="47"/>
      <c r="AJ15" s="47"/>
      <c r="AK15" s="47"/>
      <c r="AL15" s="47" t="s">
        <v>363</v>
      </c>
      <c r="AM15" s="47"/>
      <c r="AN15" s="111" t="s">
        <v>99</v>
      </c>
      <c r="AO15" s="28" t="s">
        <v>360</v>
      </c>
      <c r="AP15" s="37" t="s">
        <v>176</v>
      </c>
      <c r="AQ15" s="47" t="s">
        <v>364</v>
      </c>
      <c r="AR15" s="47" t="s">
        <v>102</v>
      </c>
      <c r="AS15" s="47">
        <v>39</v>
      </c>
      <c r="AT15" s="47" t="s">
        <v>178</v>
      </c>
      <c r="AU15" s="47" t="s">
        <v>364</v>
      </c>
      <c r="AV15" s="47" t="s">
        <v>104</v>
      </c>
      <c r="AW15" s="28">
        <v>15271786370</v>
      </c>
      <c r="AX15" s="241" t="s">
        <v>365</v>
      </c>
      <c r="AY15" s="47">
        <v>4</v>
      </c>
      <c r="AZ15" s="50">
        <v>43626</v>
      </c>
      <c r="BA15" s="123">
        <v>46142</v>
      </c>
      <c r="BB15" s="47" t="s">
        <v>106</v>
      </c>
      <c r="BC15" s="47"/>
      <c r="BD15" s="47"/>
      <c r="BE15" s="47"/>
      <c r="BF15" s="37"/>
      <c r="BG15" s="47"/>
      <c r="BH15" s="37" t="s">
        <v>366</v>
      </c>
      <c r="BI15" s="37"/>
      <c r="BJ15" s="37"/>
      <c r="BK15" s="47"/>
      <c r="BL15" s="268" t="s">
        <v>367</v>
      </c>
      <c r="BM15" s="47" t="s">
        <v>109</v>
      </c>
      <c r="BN15" s="37" t="s">
        <v>110</v>
      </c>
      <c r="BO15" s="47">
        <v>2020.5</v>
      </c>
      <c r="BP15" s="58" t="s">
        <v>368</v>
      </c>
      <c r="BQ15" s="269" t="s">
        <v>369</v>
      </c>
      <c r="BR15" s="47">
        <v>2020.5</v>
      </c>
      <c r="BS15" s="47" t="s">
        <v>111</v>
      </c>
      <c r="BT15" s="47"/>
      <c r="BU15" s="206" t="s">
        <v>164</v>
      </c>
      <c r="BV15" s="47"/>
      <c r="BW15" s="47"/>
      <c r="BX15" s="200">
        <v>43626</v>
      </c>
      <c r="BY15" s="197">
        <v>1990</v>
      </c>
      <c r="BZ15" s="47">
        <v>11</v>
      </c>
      <c r="CA15" s="47">
        <v>22</v>
      </c>
    </row>
    <row r="16" s="103" customFormat="1" ht="31" customHeight="1" spans="1:79">
      <c r="A16" s="47">
        <v>15</v>
      </c>
      <c r="B16" s="47" t="s">
        <v>370</v>
      </c>
      <c r="C16" s="47" t="s">
        <v>371</v>
      </c>
      <c r="D16" s="111" t="str">
        <f t="shared" si="0"/>
        <v>女</v>
      </c>
      <c r="E16" s="47" t="s">
        <v>356</v>
      </c>
      <c r="F16" s="47" t="s">
        <v>144</v>
      </c>
      <c r="G16" s="37" t="s">
        <v>357</v>
      </c>
      <c r="H16" s="123">
        <v>44700</v>
      </c>
      <c r="I16" s="47">
        <v>13469766636</v>
      </c>
      <c r="J16" s="270" t="s">
        <v>372</v>
      </c>
      <c r="K16" s="28" t="s">
        <v>224</v>
      </c>
      <c r="L16" s="37" t="s">
        <v>373</v>
      </c>
      <c r="M16" s="47" t="s">
        <v>149</v>
      </c>
      <c r="N16" s="37" t="s">
        <v>373</v>
      </c>
      <c r="O16" s="32" t="str">
        <f t="shared" si="4"/>
        <v>1985-11-03</v>
      </c>
      <c r="P16" s="34">
        <f ca="1" t="shared" si="2"/>
        <v>41</v>
      </c>
      <c r="Q16" s="47">
        <f ca="1" t="shared" si="5"/>
        <v>4</v>
      </c>
      <c r="R16" s="28" t="s">
        <v>88</v>
      </c>
      <c r="S16" s="47" t="s">
        <v>89</v>
      </c>
      <c r="T16" s="111" t="s">
        <v>90</v>
      </c>
      <c r="U16" s="47" t="s">
        <v>91</v>
      </c>
      <c r="V16" s="47" t="s">
        <v>92</v>
      </c>
      <c r="W16" s="47"/>
      <c r="X16" s="47"/>
      <c r="Y16" s="37" t="s">
        <v>207</v>
      </c>
      <c r="Z16" s="47">
        <v>2022.3</v>
      </c>
      <c r="AA16" s="47">
        <v>2022.5</v>
      </c>
      <c r="AB16" s="47" t="s">
        <v>374</v>
      </c>
      <c r="AC16" s="47"/>
      <c r="AD16" s="47" t="s">
        <v>375</v>
      </c>
      <c r="AE16" s="47">
        <v>15271767136</v>
      </c>
      <c r="AF16" s="47" t="s">
        <v>154</v>
      </c>
      <c r="AG16" s="37" t="s">
        <v>376</v>
      </c>
      <c r="AH16" s="37" t="s">
        <v>377</v>
      </c>
      <c r="AI16" s="47">
        <v>2016.9</v>
      </c>
      <c r="AJ16" s="47">
        <v>2019.1</v>
      </c>
      <c r="AK16" s="47"/>
      <c r="AL16" s="47"/>
      <c r="AM16" s="47"/>
      <c r="AN16" s="111" t="s">
        <v>99</v>
      </c>
      <c r="AO16" s="37" t="s">
        <v>373</v>
      </c>
      <c r="AP16" s="37" t="s">
        <v>176</v>
      </c>
      <c r="AQ16" s="47" t="s">
        <v>378</v>
      </c>
      <c r="AR16" s="47" t="s">
        <v>102</v>
      </c>
      <c r="AS16" s="47">
        <v>40</v>
      </c>
      <c r="AT16" s="47" t="s">
        <v>178</v>
      </c>
      <c r="AU16" s="47" t="s">
        <v>378</v>
      </c>
      <c r="AV16" s="47" t="s">
        <v>104</v>
      </c>
      <c r="AW16" s="47">
        <v>18520131465</v>
      </c>
      <c r="AX16" s="37" t="s">
        <v>379</v>
      </c>
      <c r="AY16" s="47">
        <v>2</v>
      </c>
      <c r="AZ16" s="123">
        <v>44762</v>
      </c>
      <c r="BA16" s="123">
        <v>45857</v>
      </c>
      <c r="BB16" s="47" t="s">
        <v>106</v>
      </c>
      <c r="BC16" s="47"/>
      <c r="BD16" s="47"/>
      <c r="BE16" s="47"/>
      <c r="BF16" s="37"/>
      <c r="BG16" s="47"/>
      <c r="BH16" s="37" t="s">
        <v>380</v>
      </c>
      <c r="BI16" s="37"/>
      <c r="BJ16" s="37"/>
      <c r="BK16" s="47"/>
      <c r="BL16" s="273" t="s">
        <v>381</v>
      </c>
      <c r="BM16" s="47" t="s">
        <v>109</v>
      </c>
      <c r="BN16" s="37" t="s">
        <v>110</v>
      </c>
      <c r="BO16" s="47">
        <v>2022.8</v>
      </c>
      <c r="BP16" s="58"/>
      <c r="BQ16" s="37"/>
      <c r="BR16" s="47">
        <v>2022.8</v>
      </c>
      <c r="BS16" s="47" t="s">
        <v>111</v>
      </c>
      <c r="BT16" s="47"/>
      <c r="BU16" s="206" t="s">
        <v>382</v>
      </c>
      <c r="BV16" s="47"/>
      <c r="BW16" s="47"/>
      <c r="BX16" s="180">
        <v>44762</v>
      </c>
      <c r="BY16" s="197">
        <v>1985</v>
      </c>
      <c r="BZ16" s="47">
        <v>11</v>
      </c>
      <c r="CA16" s="47">
        <v>3</v>
      </c>
    </row>
    <row r="17" s="103" customFormat="1" ht="31" customHeight="1" spans="1:79">
      <c r="A17" s="47">
        <v>16</v>
      </c>
      <c r="B17" s="47" t="s">
        <v>383</v>
      </c>
      <c r="C17" s="47" t="s">
        <v>384</v>
      </c>
      <c r="D17" s="111" t="str">
        <f t="shared" si="0"/>
        <v>男</v>
      </c>
      <c r="E17" s="47" t="s">
        <v>356</v>
      </c>
      <c r="F17" s="47" t="s">
        <v>144</v>
      </c>
      <c r="G17" s="37" t="s">
        <v>357</v>
      </c>
      <c r="H17" s="123">
        <v>45569</v>
      </c>
      <c r="I17" s="47">
        <v>18933412821</v>
      </c>
      <c r="J17" s="270" t="s">
        <v>385</v>
      </c>
      <c r="K17" s="28" t="s">
        <v>116</v>
      </c>
      <c r="L17" s="37" t="s">
        <v>386</v>
      </c>
      <c r="M17" s="47" t="s">
        <v>149</v>
      </c>
      <c r="N17" s="37" t="s">
        <v>387</v>
      </c>
      <c r="O17" s="32" t="str">
        <f t="shared" si="4"/>
        <v>1988-08-05</v>
      </c>
      <c r="P17" s="34">
        <f ca="1" t="shared" si="2"/>
        <v>38</v>
      </c>
      <c r="Q17" s="47">
        <f ca="1" t="shared" si="5"/>
        <v>1</v>
      </c>
      <c r="R17" s="28" t="s">
        <v>88</v>
      </c>
      <c r="S17" s="47" t="s">
        <v>89</v>
      </c>
      <c r="T17" s="111" t="s">
        <v>90</v>
      </c>
      <c r="U17" s="47" t="s">
        <v>91</v>
      </c>
      <c r="V17" s="47" t="s">
        <v>92</v>
      </c>
      <c r="W17" s="47"/>
      <c r="X17" s="47"/>
      <c r="Y17" s="37" t="s">
        <v>388</v>
      </c>
      <c r="Z17" s="47">
        <v>2019.3</v>
      </c>
      <c r="AA17" s="47">
        <v>2023.11</v>
      </c>
      <c r="AB17" s="47" t="s">
        <v>389</v>
      </c>
      <c r="AC17" s="47"/>
      <c r="AD17" s="47"/>
      <c r="AE17" s="47"/>
      <c r="AF17" s="47" t="s">
        <v>154</v>
      </c>
      <c r="AG17" s="37" t="s">
        <v>390</v>
      </c>
      <c r="AH17" s="37" t="s">
        <v>391</v>
      </c>
      <c r="AI17" s="47">
        <v>2020.3</v>
      </c>
      <c r="AJ17" s="47">
        <v>2024.2</v>
      </c>
      <c r="AK17" s="47"/>
      <c r="AL17" s="47"/>
      <c r="AM17" s="47"/>
      <c r="AN17" s="111" t="s">
        <v>194</v>
      </c>
      <c r="AO17" s="37" t="s">
        <v>387</v>
      </c>
      <c r="AP17" s="37" t="s">
        <v>100</v>
      </c>
      <c r="AQ17" s="47" t="s">
        <v>392</v>
      </c>
      <c r="AR17" s="47" t="s">
        <v>102</v>
      </c>
      <c r="AS17" s="47">
        <v>60</v>
      </c>
      <c r="AT17" s="47" t="s">
        <v>159</v>
      </c>
      <c r="AU17" s="47" t="s">
        <v>392</v>
      </c>
      <c r="AV17" s="47" t="s">
        <v>393</v>
      </c>
      <c r="AW17" s="47">
        <v>13469771656</v>
      </c>
      <c r="AX17" s="175" t="s">
        <v>287</v>
      </c>
      <c r="AY17" s="47">
        <v>0</v>
      </c>
      <c r="AZ17" s="123">
        <v>45569</v>
      </c>
      <c r="BA17" s="123">
        <v>46022</v>
      </c>
      <c r="BB17" s="47" t="s">
        <v>106</v>
      </c>
      <c r="BC17" s="47"/>
      <c r="BD17" s="47"/>
      <c r="BE17" s="47"/>
      <c r="BF17" s="37"/>
      <c r="BG17" s="47"/>
      <c r="BH17" s="37"/>
      <c r="BI17" s="37"/>
      <c r="BJ17" s="37"/>
      <c r="BK17" s="47"/>
      <c r="BL17" s="273" t="s">
        <v>394</v>
      </c>
      <c r="BM17" s="47"/>
      <c r="BN17" s="37"/>
      <c r="BO17" s="47"/>
      <c r="BP17" s="58"/>
      <c r="BQ17" s="37"/>
      <c r="BR17" s="47">
        <v>2025.1</v>
      </c>
      <c r="BS17" s="47" t="s">
        <v>111</v>
      </c>
      <c r="BT17" s="47"/>
      <c r="BU17" s="206" t="s">
        <v>395</v>
      </c>
      <c r="BV17" s="47"/>
      <c r="BW17" s="47"/>
      <c r="BX17" s="180">
        <v>45658</v>
      </c>
      <c r="BY17" s="197">
        <v>1988</v>
      </c>
      <c r="BZ17" s="47">
        <v>8</v>
      </c>
      <c r="CA17" s="47">
        <v>5</v>
      </c>
    </row>
    <row r="18" s="103" customFormat="1" ht="31" customHeight="1" spans="1:79">
      <c r="A18" s="47">
        <v>17</v>
      </c>
      <c r="B18" s="47" t="s">
        <v>396</v>
      </c>
      <c r="C18" s="47" t="s">
        <v>397</v>
      </c>
      <c r="D18" s="111" t="str">
        <f t="shared" si="0"/>
        <v>男</v>
      </c>
      <c r="E18" s="47" t="s">
        <v>398</v>
      </c>
      <c r="F18" s="47" t="s">
        <v>144</v>
      </c>
      <c r="G18" s="37" t="s">
        <v>399</v>
      </c>
      <c r="H18" s="123">
        <v>45572</v>
      </c>
      <c r="I18" s="47">
        <v>13972869793</v>
      </c>
      <c r="J18" s="270" t="s">
        <v>400</v>
      </c>
      <c r="K18" s="28" t="s">
        <v>116</v>
      </c>
      <c r="L18" s="37" t="s">
        <v>401</v>
      </c>
      <c r="M18" s="47" t="s">
        <v>149</v>
      </c>
      <c r="N18" s="37" t="s">
        <v>402</v>
      </c>
      <c r="O18" s="32" t="str">
        <f t="shared" si="4"/>
        <v>2001-07-03</v>
      </c>
      <c r="P18" s="34">
        <f ca="1" t="shared" si="2"/>
        <v>25</v>
      </c>
      <c r="Q18" s="47">
        <v>0</v>
      </c>
      <c r="R18" s="28" t="s">
        <v>88</v>
      </c>
      <c r="S18" s="47" t="s">
        <v>403</v>
      </c>
      <c r="T18" s="111" t="s">
        <v>90</v>
      </c>
      <c r="U18" s="47" t="s">
        <v>91</v>
      </c>
      <c r="V18" s="47" t="s">
        <v>92</v>
      </c>
      <c r="W18" s="47"/>
      <c r="X18" s="47"/>
      <c r="Y18" s="37" t="s">
        <v>404</v>
      </c>
      <c r="Z18" s="47">
        <v>2024.3</v>
      </c>
      <c r="AA18" s="47">
        <v>2024.7</v>
      </c>
      <c r="AB18" s="47" t="s">
        <v>405</v>
      </c>
      <c r="AC18" s="47"/>
      <c r="AD18" s="47"/>
      <c r="AE18" s="47"/>
      <c r="AF18" s="47" t="s">
        <v>406</v>
      </c>
      <c r="AG18" s="37" t="s">
        <v>407</v>
      </c>
      <c r="AH18" s="37" t="s">
        <v>408</v>
      </c>
      <c r="AI18" s="47"/>
      <c r="AJ18" s="47"/>
      <c r="AK18" s="47"/>
      <c r="AL18" s="47"/>
      <c r="AM18" s="47"/>
      <c r="AN18" s="111" t="s">
        <v>194</v>
      </c>
      <c r="AO18" s="37" t="s">
        <v>402</v>
      </c>
      <c r="AP18" s="37" t="s">
        <v>409</v>
      </c>
      <c r="AQ18" s="47" t="s">
        <v>410</v>
      </c>
      <c r="AR18" s="47" t="s">
        <v>102</v>
      </c>
      <c r="AS18" s="47">
        <v>71</v>
      </c>
      <c r="AT18" s="47" t="s">
        <v>178</v>
      </c>
      <c r="AU18" s="47" t="s">
        <v>410</v>
      </c>
      <c r="AV18" s="47" t="s">
        <v>411</v>
      </c>
      <c r="AW18" s="47">
        <v>15972619098</v>
      </c>
      <c r="AX18" s="175" t="s">
        <v>287</v>
      </c>
      <c r="AY18" s="47">
        <v>0</v>
      </c>
      <c r="AZ18" s="123">
        <v>45572</v>
      </c>
      <c r="BA18" s="123">
        <v>45663</v>
      </c>
      <c r="BB18" s="47" t="s">
        <v>412</v>
      </c>
      <c r="BC18" s="47" t="s">
        <v>410</v>
      </c>
      <c r="BD18" s="47"/>
      <c r="BE18" s="47"/>
      <c r="BF18" s="37"/>
      <c r="BG18" s="47"/>
      <c r="BH18" s="37"/>
      <c r="BI18" s="37"/>
      <c r="BJ18" s="37"/>
      <c r="BK18" s="47"/>
      <c r="BL18" s="273" t="s">
        <v>413</v>
      </c>
      <c r="BM18" s="47"/>
      <c r="BN18" s="37"/>
      <c r="BO18" s="47">
        <v>2025.1</v>
      </c>
      <c r="BP18" s="58"/>
      <c r="BQ18" s="37"/>
      <c r="BR18" s="47">
        <v>2025.1</v>
      </c>
      <c r="BS18" s="47" t="s">
        <v>111</v>
      </c>
      <c r="BT18" s="47"/>
      <c r="BU18" s="206" t="s">
        <v>414</v>
      </c>
      <c r="BV18" s="47"/>
      <c r="BW18" s="47"/>
      <c r="BX18" s="180">
        <v>45748</v>
      </c>
      <c r="BY18" s="197">
        <v>2001</v>
      </c>
      <c r="BZ18" s="47">
        <v>7</v>
      </c>
      <c r="CA18" s="47">
        <v>3</v>
      </c>
    </row>
    <row r="19" s="103" customFormat="1" ht="31" customHeight="1" spans="1:79">
      <c r="A19" s="47">
        <v>18</v>
      </c>
      <c r="B19" s="47" t="s">
        <v>415</v>
      </c>
      <c r="C19" s="28" t="s">
        <v>416</v>
      </c>
      <c r="D19" s="111" t="str">
        <f t="shared" si="0"/>
        <v>男</v>
      </c>
      <c r="E19" s="47" t="s">
        <v>417</v>
      </c>
      <c r="F19" s="47" t="s">
        <v>144</v>
      </c>
      <c r="G19" s="116" t="s">
        <v>418</v>
      </c>
      <c r="H19" s="18">
        <v>42309</v>
      </c>
      <c r="I19" s="130">
        <v>13872902745</v>
      </c>
      <c r="J19" s="27" t="s">
        <v>419</v>
      </c>
      <c r="K19" s="28" t="s">
        <v>293</v>
      </c>
      <c r="L19" s="28" t="s">
        <v>420</v>
      </c>
      <c r="M19" s="47" t="s">
        <v>282</v>
      </c>
      <c r="N19" s="28" t="s">
        <v>421</v>
      </c>
      <c r="O19" s="32" t="str">
        <f t="shared" si="4"/>
        <v>1970-05-01</v>
      </c>
      <c r="P19" s="34">
        <f ca="1" t="shared" si="2"/>
        <v>56</v>
      </c>
      <c r="Q19" s="47">
        <f ca="1" t="shared" ref="Q19:Q22" si="6">IF(H19="","",DATEDIF(H19,TODAY(),"Y"))</f>
        <v>10</v>
      </c>
      <c r="R19" s="28" t="s">
        <v>88</v>
      </c>
      <c r="S19" s="47" t="s">
        <v>89</v>
      </c>
      <c r="T19" s="28" t="s">
        <v>90</v>
      </c>
      <c r="U19" s="47" t="s">
        <v>91</v>
      </c>
      <c r="V19" s="47" t="s">
        <v>92</v>
      </c>
      <c r="W19" s="47"/>
      <c r="X19" s="47"/>
      <c r="Y19" s="37" t="s">
        <v>227</v>
      </c>
      <c r="Z19" s="47">
        <v>2010.7</v>
      </c>
      <c r="AA19" s="65">
        <v>2015.1</v>
      </c>
      <c r="AB19" s="47" t="s">
        <v>422</v>
      </c>
      <c r="AC19" s="47"/>
      <c r="AD19" s="47"/>
      <c r="AE19" s="47"/>
      <c r="AF19" s="28" t="s">
        <v>122</v>
      </c>
      <c r="AG19" s="37" t="s">
        <v>423</v>
      </c>
      <c r="AH19" s="28"/>
      <c r="AI19" s="47">
        <v>1982.9</v>
      </c>
      <c r="AJ19" s="47">
        <v>1985.7</v>
      </c>
      <c r="AK19" s="47"/>
      <c r="AL19" s="37" t="s">
        <v>424</v>
      </c>
      <c r="AM19" s="47"/>
      <c r="AN19" s="111" t="s">
        <v>99</v>
      </c>
      <c r="AO19" s="28" t="s">
        <v>421</v>
      </c>
      <c r="AP19" s="37" t="s">
        <v>212</v>
      </c>
      <c r="AQ19" s="47" t="s">
        <v>425</v>
      </c>
      <c r="AR19" s="47" t="s">
        <v>214</v>
      </c>
      <c r="AS19" s="47">
        <v>54</v>
      </c>
      <c r="AT19" s="47" t="s">
        <v>178</v>
      </c>
      <c r="AU19" s="47" t="s">
        <v>426</v>
      </c>
      <c r="AV19" s="47" t="s">
        <v>427</v>
      </c>
      <c r="AW19" s="58">
        <v>13986982629</v>
      </c>
      <c r="AX19" s="37" t="s">
        <v>428</v>
      </c>
      <c r="AY19" s="47">
        <v>6</v>
      </c>
      <c r="AZ19" s="50">
        <v>42309</v>
      </c>
      <c r="BA19" s="123">
        <v>46112</v>
      </c>
      <c r="BB19" s="47" t="s">
        <v>233</v>
      </c>
      <c r="BC19" s="47"/>
      <c r="BD19" s="47"/>
      <c r="BE19" s="47"/>
      <c r="BF19" s="37"/>
      <c r="BG19" s="47"/>
      <c r="BH19" s="37" t="s">
        <v>429</v>
      </c>
      <c r="BI19" s="37"/>
      <c r="BJ19" s="37"/>
      <c r="BK19" s="47"/>
      <c r="BL19" s="268" t="s">
        <v>430</v>
      </c>
      <c r="BM19" s="47" t="s">
        <v>109</v>
      </c>
      <c r="BN19" s="37" t="s">
        <v>110</v>
      </c>
      <c r="BO19" s="47">
        <v>2015.11</v>
      </c>
      <c r="BP19" s="58" t="s">
        <v>431</v>
      </c>
      <c r="BQ19" s="269" t="s">
        <v>432</v>
      </c>
      <c r="BR19" s="47">
        <v>2016.7</v>
      </c>
      <c r="BS19" s="47" t="s">
        <v>111</v>
      </c>
      <c r="BT19" s="47"/>
      <c r="BU19" s="206" t="s">
        <v>164</v>
      </c>
      <c r="BV19" s="47"/>
      <c r="BW19" s="47"/>
      <c r="BX19" s="200">
        <v>42309</v>
      </c>
      <c r="BY19" s="197">
        <v>1970</v>
      </c>
      <c r="BZ19" s="47">
        <v>5</v>
      </c>
      <c r="CA19" s="47">
        <v>1</v>
      </c>
    </row>
    <row r="20" s="103" customFormat="1" ht="31" customHeight="1" spans="1:79">
      <c r="A20" s="47">
        <v>19</v>
      </c>
      <c r="B20" s="47" t="s">
        <v>433</v>
      </c>
      <c r="C20" s="111" t="s">
        <v>434</v>
      </c>
      <c r="D20" s="111" t="str">
        <f t="shared" si="0"/>
        <v>男</v>
      </c>
      <c r="E20" s="47" t="s">
        <v>417</v>
      </c>
      <c r="F20" s="47" t="s">
        <v>144</v>
      </c>
      <c r="G20" s="117" t="s">
        <v>435</v>
      </c>
      <c r="H20" s="18">
        <v>43192</v>
      </c>
      <c r="I20" s="130">
        <v>15771068551</v>
      </c>
      <c r="J20" s="27" t="s">
        <v>436</v>
      </c>
      <c r="K20" s="28" t="s">
        <v>224</v>
      </c>
      <c r="L20" s="28" t="s">
        <v>437</v>
      </c>
      <c r="M20" s="47" t="s">
        <v>282</v>
      </c>
      <c r="N20" s="28" t="s">
        <v>438</v>
      </c>
      <c r="O20" s="32" t="str">
        <f t="shared" si="4"/>
        <v>1972-10-02</v>
      </c>
      <c r="P20" s="34">
        <f ca="1" t="shared" si="2"/>
        <v>54</v>
      </c>
      <c r="Q20" s="47">
        <f ca="1" t="shared" si="6"/>
        <v>8</v>
      </c>
      <c r="R20" s="28" t="s">
        <v>88</v>
      </c>
      <c r="S20" s="47" t="s">
        <v>89</v>
      </c>
      <c r="T20" s="58" t="s">
        <v>90</v>
      </c>
      <c r="U20" s="47" t="s">
        <v>91</v>
      </c>
      <c r="V20" s="47" t="s">
        <v>92</v>
      </c>
      <c r="W20" s="47" t="s">
        <v>151</v>
      </c>
      <c r="X20" s="47"/>
      <c r="Y20" s="37" t="s">
        <v>439</v>
      </c>
      <c r="Z20" s="47">
        <v>2016.8</v>
      </c>
      <c r="AA20" s="47">
        <v>2017.7</v>
      </c>
      <c r="AB20" s="47" t="s">
        <v>440</v>
      </c>
      <c r="AC20" s="47"/>
      <c r="AD20" s="47"/>
      <c r="AE20" s="47"/>
      <c r="AF20" s="111" t="s">
        <v>208</v>
      </c>
      <c r="AG20" s="37" t="s">
        <v>441</v>
      </c>
      <c r="AH20" s="28" t="s">
        <v>442</v>
      </c>
      <c r="AI20" s="47">
        <v>1988.9</v>
      </c>
      <c r="AJ20" s="47">
        <v>1990.7</v>
      </c>
      <c r="AK20" s="47"/>
      <c r="AL20" s="47" t="s">
        <v>443</v>
      </c>
      <c r="AM20" s="47"/>
      <c r="AN20" s="111" t="s">
        <v>99</v>
      </c>
      <c r="AO20" s="28" t="s">
        <v>438</v>
      </c>
      <c r="AP20" s="37" t="s">
        <v>212</v>
      </c>
      <c r="AQ20" s="47" t="s">
        <v>444</v>
      </c>
      <c r="AR20" s="47" t="s">
        <v>214</v>
      </c>
      <c r="AS20" s="47">
        <v>48</v>
      </c>
      <c r="AT20" s="47" t="s">
        <v>445</v>
      </c>
      <c r="AU20" s="47" t="s">
        <v>446</v>
      </c>
      <c r="AV20" s="47" t="s">
        <v>447</v>
      </c>
      <c r="AW20" s="28">
        <v>13477379642</v>
      </c>
      <c r="AX20" s="37" t="s">
        <v>448</v>
      </c>
      <c r="AY20" s="47">
        <v>4</v>
      </c>
      <c r="AZ20" s="50">
        <v>43282</v>
      </c>
      <c r="BA20" s="123">
        <v>45839</v>
      </c>
      <c r="BB20" s="47" t="s">
        <v>106</v>
      </c>
      <c r="BC20" s="47"/>
      <c r="BD20" s="47"/>
      <c r="BE20" s="47"/>
      <c r="BF20" s="37"/>
      <c r="BG20" s="47"/>
      <c r="BH20" s="37" t="s">
        <v>449</v>
      </c>
      <c r="BI20" s="37"/>
      <c r="BJ20" s="37"/>
      <c r="BK20" s="47"/>
      <c r="BL20" s="268" t="s">
        <v>450</v>
      </c>
      <c r="BM20" s="47" t="s">
        <v>109</v>
      </c>
      <c r="BN20" s="37" t="s">
        <v>110</v>
      </c>
      <c r="BO20" s="47">
        <v>2018.7</v>
      </c>
      <c r="BP20" s="58" t="s">
        <v>451</v>
      </c>
      <c r="BQ20" s="269" t="s">
        <v>452</v>
      </c>
      <c r="BR20" s="47">
        <v>2018.7</v>
      </c>
      <c r="BS20" s="47" t="s">
        <v>111</v>
      </c>
      <c r="BT20" s="47"/>
      <c r="BU20" s="206" t="s">
        <v>164</v>
      </c>
      <c r="BV20" s="47"/>
      <c r="BW20" s="47"/>
      <c r="BX20" s="200">
        <v>43282</v>
      </c>
      <c r="BY20" s="197">
        <v>1972</v>
      </c>
      <c r="BZ20" s="47">
        <v>10</v>
      </c>
      <c r="CA20" s="47">
        <v>2</v>
      </c>
    </row>
    <row r="21" s="103" customFormat="1" ht="31" customHeight="1" spans="1:79">
      <c r="A21" s="47">
        <v>20</v>
      </c>
      <c r="B21" s="47" t="s">
        <v>453</v>
      </c>
      <c r="C21" s="111" t="s">
        <v>454</v>
      </c>
      <c r="D21" s="111" t="str">
        <f t="shared" si="0"/>
        <v>女</v>
      </c>
      <c r="E21" s="47" t="s">
        <v>417</v>
      </c>
      <c r="F21" s="47" t="s">
        <v>144</v>
      </c>
      <c r="G21" s="117" t="s">
        <v>455</v>
      </c>
      <c r="H21" s="18">
        <v>43549</v>
      </c>
      <c r="I21" s="111">
        <v>18727593227</v>
      </c>
      <c r="J21" s="27" t="s">
        <v>456</v>
      </c>
      <c r="K21" s="28" t="s">
        <v>85</v>
      </c>
      <c r="L21" s="28" t="s">
        <v>457</v>
      </c>
      <c r="M21" s="47" t="s">
        <v>149</v>
      </c>
      <c r="N21" s="28" t="s">
        <v>457</v>
      </c>
      <c r="O21" s="32" t="str">
        <f t="shared" si="4"/>
        <v>1979-12-16</v>
      </c>
      <c r="P21" s="34">
        <f ca="1" t="shared" si="2"/>
        <v>47</v>
      </c>
      <c r="Q21" s="47">
        <f ca="1" t="shared" si="6"/>
        <v>7</v>
      </c>
      <c r="R21" s="28" t="s">
        <v>88</v>
      </c>
      <c r="S21" s="47" t="s">
        <v>89</v>
      </c>
      <c r="T21" s="58" t="s">
        <v>90</v>
      </c>
      <c r="U21" s="47" t="s">
        <v>91</v>
      </c>
      <c r="V21" s="47" t="s">
        <v>92</v>
      </c>
      <c r="W21" s="47"/>
      <c r="X21" s="47"/>
      <c r="Y21" s="47" t="s">
        <v>458</v>
      </c>
      <c r="Z21" s="47">
        <v>2013</v>
      </c>
      <c r="AA21" s="47">
        <v>2018</v>
      </c>
      <c r="AB21" s="47" t="s">
        <v>459</v>
      </c>
      <c r="AC21" s="47"/>
      <c r="AD21" s="47"/>
      <c r="AE21" s="47"/>
      <c r="AF21" s="111" t="s">
        <v>208</v>
      </c>
      <c r="AG21" s="37" t="s">
        <v>460</v>
      </c>
      <c r="AH21" s="28" t="s">
        <v>461</v>
      </c>
      <c r="AI21" s="47">
        <v>1994.9</v>
      </c>
      <c r="AJ21" s="47">
        <v>1997.7</v>
      </c>
      <c r="AK21" s="47"/>
      <c r="AL21" s="47"/>
      <c r="AM21" s="47"/>
      <c r="AN21" s="111" t="s">
        <v>99</v>
      </c>
      <c r="AO21" s="28" t="s">
        <v>457</v>
      </c>
      <c r="AP21" s="37" t="s">
        <v>176</v>
      </c>
      <c r="AQ21" s="47" t="s">
        <v>462</v>
      </c>
      <c r="AR21" s="47" t="s">
        <v>102</v>
      </c>
      <c r="AS21" s="47">
        <v>45</v>
      </c>
      <c r="AT21" s="47" t="s">
        <v>103</v>
      </c>
      <c r="AU21" s="47" t="s">
        <v>462</v>
      </c>
      <c r="AV21" s="47" t="s">
        <v>104</v>
      </c>
      <c r="AW21" s="28">
        <v>13294289386</v>
      </c>
      <c r="AX21" s="37" t="s">
        <v>463</v>
      </c>
      <c r="AY21" s="47">
        <v>4</v>
      </c>
      <c r="AZ21" s="50">
        <v>43640</v>
      </c>
      <c r="BA21" s="123">
        <v>45838</v>
      </c>
      <c r="BB21" s="47" t="s">
        <v>106</v>
      </c>
      <c r="BC21" s="47"/>
      <c r="BD21" s="47"/>
      <c r="BE21" s="47"/>
      <c r="BF21" s="37"/>
      <c r="BG21" s="47"/>
      <c r="BH21" s="37" t="s">
        <v>464</v>
      </c>
      <c r="BI21" s="37"/>
      <c r="BJ21" s="37"/>
      <c r="BK21" s="47"/>
      <c r="BL21" s="268" t="s">
        <v>465</v>
      </c>
      <c r="BM21" s="47" t="s">
        <v>109</v>
      </c>
      <c r="BN21" s="37" t="s">
        <v>110</v>
      </c>
      <c r="BO21" s="47">
        <v>2019.7</v>
      </c>
      <c r="BP21" s="58"/>
      <c r="BQ21" s="37"/>
      <c r="BR21" s="47">
        <v>2019.7</v>
      </c>
      <c r="BS21" s="47" t="s">
        <v>111</v>
      </c>
      <c r="BT21" s="47"/>
      <c r="BU21" s="206" t="s">
        <v>164</v>
      </c>
      <c r="BV21" s="47"/>
      <c r="BW21" s="47"/>
      <c r="BX21" s="200">
        <v>43640</v>
      </c>
      <c r="BY21" s="197">
        <v>1979</v>
      </c>
      <c r="BZ21" s="47">
        <v>12</v>
      </c>
      <c r="CA21" s="47">
        <v>16</v>
      </c>
    </row>
    <row r="22" s="103" customFormat="1" ht="31" customHeight="1" spans="1:79">
      <c r="A22" s="47">
        <v>21</v>
      </c>
      <c r="B22" s="47" t="s">
        <v>466</v>
      </c>
      <c r="C22" s="111" t="s">
        <v>467</v>
      </c>
      <c r="D22" s="111" t="str">
        <f t="shared" si="0"/>
        <v>男</v>
      </c>
      <c r="E22" s="47" t="s">
        <v>417</v>
      </c>
      <c r="F22" s="47" t="s">
        <v>144</v>
      </c>
      <c r="G22" s="117" t="s">
        <v>468</v>
      </c>
      <c r="H22" s="18">
        <v>43619</v>
      </c>
      <c r="I22" s="111">
        <v>13451202281</v>
      </c>
      <c r="J22" s="27" t="s">
        <v>469</v>
      </c>
      <c r="K22" s="28" t="s">
        <v>116</v>
      </c>
      <c r="L22" s="28" t="s">
        <v>470</v>
      </c>
      <c r="M22" s="47" t="s">
        <v>149</v>
      </c>
      <c r="N22" s="28" t="s">
        <v>470</v>
      </c>
      <c r="O22" s="32" t="str">
        <f t="shared" si="4"/>
        <v>1970-10-29</v>
      </c>
      <c r="P22" s="34">
        <f ca="1" t="shared" si="2"/>
        <v>56</v>
      </c>
      <c r="Q22" s="47">
        <f ca="1" t="shared" si="6"/>
        <v>7</v>
      </c>
      <c r="R22" s="28" t="s">
        <v>88</v>
      </c>
      <c r="S22" s="47" t="s">
        <v>89</v>
      </c>
      <c r="T22" s="28" t="s">
        <v>90</v>
      </c>
      <c r="U22" s="47" t="s">
        <v>91</v>
      </c>
      <c r="V22" s="47" t="s">
        <v>92</v>
      </c>
      <c r="W22" s="47"/>
      <c r="X22" s="47"/>
      <c r="Y22" s="37" t="s">
        <v>471</v>
      </c>
      <c r="Z22" s="47">
        <v>2011.7</v>
      </c>
      <c r="AA22" s="47">
        <v>2019.5</v>
      </c>
      <c r="AB22" s="47" t="s">
        <v>94</v>
      </c>
      <c r="AC22" s="47"/>
      <c r="AD22" s="47"/>
      <c r="AE22" s="47"/>
      <c r="AF22" s="111" t="s">
        <v>122</v>
      </c>
      <c r="AG22" s="37" t="s">
        <v>472</v>
      </c>
      <c r="AH22" s="28"/>
      <c r="AI22" s="47"/>
      <c r="AJ22" s="47"/>
      <c r="AK22" s="47"/>
      <c r="AL22" s="47" t="s">
        <v>443</v>
      </c>
      <c r="AM22" s="47"/>
      <c r="AN22" s="111" t="s">
        <v>99</v>
      </c>
      <c r="AO22" s="28" t="s">
        <v>470</v>
      </c>
      <c r="AP22" s="37" t="s">
        <v>212</v>
      </c>
      <c r="AQ22" s="47" t="s">
        <v>473</v>
      </c>
      <c r="AR22" s="47" t="s">
        <v>214</v>
      </c>
      <c r="AS22" s="47">
        <v>53</v>
      </c>
      <c r="AT22" s="47" t="s">
        <v>103</v>
      </c>
      <c r="AU22" s="47" t="s">
        <v>473</v>
      </c>
      <c r="AV22" s="47" t="s">
        <v>104</v>
      </c>
      <c r="AW22" s="28">
        <v>15334022819</v>
      </c>
      <c r="AX22" s="37" t="s">
        <v>474</v>
      </c>
      <c r="AY22" s="47">
        <v>4</v>
      </c>
      <c r="AZ22" s="50">
        <v>43710</v>
      </c>
      <c r="BA22" s="123">
        <v>45900</v>
      </c>
      <c r="BB22" s="47" t="s">
        <v>106</v>
      </c>
      <c r="BC22" s="47"/>
      <c r="BD22" s="47"/>
      <c r="BE22" s="47"/>
      <c r="BF22" s="37"/>
      <c r="BG22" s="47"/>
      <c r="BH22" s="37" t="s">
        <v>475</v>
      </c>
      <c r="BI22" s="37"/>
      <c r="BJ22" s="37"/>
      <c r="BK22" s="47"/>
      <c r="BL22" s="268" t="s">
        <v>476</v>
      </c>
      <c r="BM22" s="47" t="s">
        <v>109</v>
      </c>
      <c r="BN22" s="37" t="s">
        <v>110</v>
      </c>
      <c r="BO22" s="47">
        <v>2019.9</v>
      </c>
      <c r="BP22" s="58" t="s">
        <v>477</v>
      </c>
      <c r="BQ22" s="269" t="s">
        <v>478</v>
      </c>
      <c r="BR22" s="47">
        <v>2019.9</v>
      </c>
      <c r="BS22" s="47" t="s">
        <v>111</v>
      </c>
      <c r="BT22" s="47"/>
      <c r="BU22" s="206" t="s">
        <v>164</v>
      </c>
      <c r="BV22" s="47"/>
      <c r="BW22" s="47"/>
      <c r="BX22" s="200">
        <v>43710</v>
      </c>
      <c r="BY22" s="197">
        <v>1970</v>
      </c>
      <c r="BZ22" s="47">
        <v>10</v>
      </c>
      <c r="CA22" s="47">
        <v>29</v>
      </c>
    </row>
    <row r="23" s="103" customFormat="1" ht="31" customHeight="1" spans="1:79">
      <c r="A23" s="47">
        <v>22</v>
      </c>
      <c r="B23" s="47" t="s">
        <v>479</v>
      </c>
      <c r="C23" s="226" t="s">
        <v>480</v>
      </c>
      <c r="D23" s="111" t="str">
        <f t="shared" si="0"/>
        <v>女</v>
      </c>
      <c r="E23" s="47" t="s">
        <v>417</v>
      </c>
      <c r="F23" s="47" t="s">
        <v>144</v>
      </c>
      <c r="G23" s="227" t="s">
        <v>481</v>
      </c>
      <c r="H23" s="228">
        <v>44247</v>
      </c>
      <c r="I23" s="226">
        <v>18971857289</v>
      </c>
      <c r="J23" s="233" t="s">
        <v>482</v>
      </c>
      <c r="K23" s="150" t="s">
        <v>205</v>
      </c>
      <c r="L23" s="234" t="s">
        <v>483</v>
      </c>
      <c r="M23" s="47" t="s">
        <v>187</v>
      </c>
      <c r="N23" s="234" t="s">
        <v>484</v>
      </c>
      <c r="O23" s="32" t="str">
        <f t="shared" si="4"/>
        <v>1981-07-22</v>
      </c>
      <c r="P23" s="34">
        <f ca="1" t="shared" si="2"/>
        <v>45</v>
      </c>
      <c r="Q23" s="47">
        <v>4</v>
      </c>
      <c r="R23" s="150" t="s">
        <v>88</v>
      </c>
      <c r="S23" s="47" t="s">
        <v>89</v>
      </c>
      <c r="T23" s="28" t="s">
        <v>90</v>
      </c>
      <c r="U23" s="47" t="s">
        <v>91</v>
      </c>
      <c r="V23" s="47" t="s">
        <v>92</v>
      </c>
      <c r="W23" s="47"/>
      <c r="X23" s="47"/>
      <c r="Y23" s="37" t="s">
        <v>207</v>
      </c>
      <c r="Z23" s="47">
        <v>2019.11</v>
      </c>
      <c r="AA23" s="47">
        <v>2020.4</v>
      </c>
      <c r="AB23" s="47" t="s">
        <v>459</v>
      </c>
      <c r="AC23" s="47"/>
      <c r="AD23" s="47"/>
      <c r="AE23" s="47"/>
      <c r="AF23" s="239" t="s">
        <v>208</v>
      </c>
      <c r="AG23" s="37" t="s">
        <v>485</v>
      </c>
      <c r="AH23" s="239" t="s">
        <v>486</v>
      </c>
      <c r="AI23" s="47">
        <v>1997.9</v>
      </c>
      <c r="AJ23" s="47">
        <v>1999.6</v>
      </c>
      <c r="AK23" s="47"/>
      <c r="AL23" s="47"/>
      <c r="AM23" s="47"/>
      <c r="AN23" s="111" t="s">
        <v>99</v>
      </c>
      <c r="AO23" s="234" t="s">
        <v>484</v>
      </c>
      <c r="AP23" s="37" t="s">
        <v>176</v>
      </c>
      <c r="AQ23" s="47" t="s">
        <v>487</v>
      </c>
      <c r="AR23" s="47" t="s">
        <v>102</v>
      </c>
      <c r="AS23" s="47">
        <v>42</v>
      </c>
      <c r="AT23" s="47" t="s">
        <v>445</v>
      </c>
      <c r="AU23" s="47" t="s">
        <v>487</v>
      </c>
      <c r="AV23" s="47" t="s">
        <v>104</v>
      </c>
      <c r="AW23" s="150">
        <v>13317527231</v>
      </c>
      <c r="AX23" s="37" t="s">
        <v>271</v>
      </c>
      <c r="AY23" s="47">
        <v>5</v>
      </c>
      <c r="AZ23" s="50">
        <v>44287</v>
      </c>
      <c r="BA23" s="123">
        <v>46072</v>
      </c>
      <c r="BB23" s="47" t="s">
        <v>106</v>
      </c>
      <c r="BC23" s="47"/>
      <c r="BD23" s="47"/>
      <c r="BE23" s="47"/>
      <c r="BF23" s="37"/>
      <c r="BG23" s="47"/>
      <c r="BH23" s="37" t="s">
        <v>488</v>
      </c>
      <c r="BI23" s="37"/>
      <c r="BJ23" s="37"/>
      <c r="BK23" s="47"/>
      <c r="BL23" s="268" t="s">
        <v>489</v>
      </c>
      <c r="BM23" s="47" t="s">
        <v>109</v>
      </c>
      <c r="BN23" s="37" t="s">
        <v>110</v>
      </c>
      <c r="BO23" s="47">
        <v>2021.4</v>
      </c>
      <c r="BP23" s="58" t="s">
        <v>490</v>
      </c>
      <c r="BQ23" s="269" t="s">
        <v>491</v>
      </c>
      <c r="BR23" s="47">
        <v>2021.4</v>
      </c>
      <c r="BS23" s="47" t="s">
        <v>111</v>
      </c>
      <c r="BT23" s="47"/>
      <c r="BU23" s="206" t="s">
        <v>164</v>
      </c>
      <c r="BV23" s="47"/>
      <c r="BW23" s="47"/>
      <c r="BX23" s="200">
        <v>44287</v>
      </c>
      <c r="BY23" s="197">
        <v>1981</v>
      </c>
      <c r="BZ23" s="47">
        <v>7</v>
      </c>
      <c r="CA23" s="47">
        <v>22</v>
      </c>
    </row>
    <row r="24" s="103" customFormat="1" ht="31" customHeight="1" spans="1:79">
      <c r="A24" s="47">
        <v>23</v>
      </c>
      <c r="B24" s="47" t="s">
        <v>492</v>
      </c>
      <c r="C24" s="111" t="s">
        <v>493</v>
      </c>
      <c r="D24" s="111" t="str">
        <f t="shared" si="0"/>
        <v>女</v>
      </c>
      <c r="E24" s="47" t="s">
        <v>417</v>
      </c>
      <c r="F24" s="47" t="s">
        <v>144</v>
      </c>
      <c r="G24" s="117" t="s">
        <v>494</v>
      </c>
      <c r="H24" s="229">
        <v>43770</v>
      </c>
      <c r="I24" s="111">
        <v>18162778161</v>
      </c>
      <c r="J24" s="235" t="s">
        <v>495</v>
      </c>
      <c r="K24" s="158" t="s">
        <v>496</v>
      </c>
      <c r="L24" s="158" t="s">
        <v>497</v>
      </c>
      <c r="M24" s="47" t="s">
        <v>282</v>
      </c>
      <c r="N24" s="158" t="s">
        <v>498</v>
      </c>
      <c r="O24" s="32" t="str">
        <f t="shared" si="4"/>
        <v>1990-01-24</v>
      </c>
      <c r="P24" s="34">
        <f ca="1" t="shared" si="2"/>
        <v>36</v>
      </c>
      <c r="Q24" s="47">
        <f ca="1" t="shared" ref="Q24:Q87" si="7">IF(H24="","",DATEDIF(H24,TODAY(),"Y"))</f>
        <v>6</v>
      </c>
      <c r="R24" s="28" t="s">
        <v>88</v>
      </c>
      <c r="S24" s="47" t="s">
        <v>89</v>
      </c>
      <c r="T24" s="158" t="s">
        <v>90</v>
      </c>
      <c r="U24" s="47" t="s">
        <v>91</v>
      </c>
      <c r="V24" s="47" t="s">
        <v>92</v>
      </c>
      <c r="W24" s="47" t="s">
        <v>499</v>
      </c>
      <c r="X24" s="47"/>
      <c r="Y24" s="37" t="s">
        <v>500</v>
      </c>
      <c r="Z24" s="47">
        <v>2018.12</v>
      </c>
      <c r="AA24" s="65">
        <v>2019.1</v>
      </c>
      <c r="AB24" s="47" t="s">
        <v>228</v>
      </c>
      <c r="AC24" s="47"/>
      <c r="AD24" s="47"/>
      <c r="AE24" s="47"/>
      <c r="AF24" s="158" t="s">
        <v>154</v>
      </c>
      <c r="AG24" s="37" t="s">
        <v>501</v>
      </c>
      <c r="AH24" s="158" t="s">
        <v>502</v>
      </c>
      <c r="AI24" s="47">
        <v>2009.9</v>
      </c>
      <c r="AJ24" s="47">
        <v>2012.6</v>
      </c>
      <c r="AK24" s="47"/>
      <c r="AL24" s="37" t="s">
        <v>503</v>
      </c>
      <c r="AM24" s="47"/>
      <c r="AN24" s="111" t="s">
        <v>99</v>
      </c>
      <c r="AO24" s="28" t="s">
        <v>498</v>
      </c>
      <c r="AP24" s="37" t="s">
        <v>176</v>
      </c>
      <c r="AQ24" s="47" t="s">
        <v>504</v>
      </c>
      <c r="AR24" s="47" t="s">
        <v>102</v>
      </c>
      <c r="AS24" s="47">
        <v>34</v>
      </c>
      <c r="AT24" s="47" t="s">
        <v>505</v>
      </c>
      <c r="AU24" s="47" t="s">
        <v>506</v>
      </c>
      <c r="AV24" s="47" t="s">
        <v>507</v>
      </c>
      <c r="AW24" s="28">
        <v>17762528191</v>
      </c>
      <c r="AX24" s="37" t="s">
        <v>508</v>
      </c>
      <c r="AY24" s="47">
        <v>4</v>
      </c>
      <c r="AZ24" s="50">
        <v>43831</v>
      </c>
      <c r="BA24" s="123">
        <v>46326</v>
      </c>
      <c r="BB24" s="47" t="s">
        <v>509</v>
      </c>
      <c r="BC24" s="47"/>
      <c r="BD24" s="47"/>
      <c r="BE24" s="47"/>
      <c r="BF24" s="37"/>
      <c r="BG24" s="47"/>
      <c r="BH24" s="37" t="s">
        <v>510</v>
      </c>
      <c r="BI24" s="37"/>
      <c r="BJ24" s="37"/>
      <c r="BK24" s="47"/>
      <c r="BL24" s="268" t="s">
        <v>511</v>
      </c>
      <c r="BM24" s="47" t="s">
        <v>109</v>
      </c>
      <c r="BN24" s="37" t="s">
        <v>110</v>
      </c>
      <c r="BO24" s="47">
        <v>2020.1</v>
      </c>
      <c r="BP24" s="58" t="s">
        <v>512</v>
      </c>
      <c r="BQ24" s="269" t="s">
        <v>513</v>
      </c>
      <c r="BR24" s="47">
        <v>2020.1</v>
      </c>
      <c r="BS24" s="47" t="s">
        <v>111</v>
      </c>
      <c r="BT24" s="47"/>
      <c r="BU24" s="206" t="s">
        <v>164</v>
      </c>
      <c r="BV24" s="47"/>
      <c r="BW24" s="47"/>
      <c r="BX24" s="200">
        <v>43831</v>
      </c>
      <c r="BY24" s="197">
        <v>1990</v>
      </c>
      <c r="BZ24" s="47">
        <v>1</v>
      </c>
      <c r="CA24" s="47">
        <v>24</v>
      </c>
    </row>
    <row r="25" s="103" customFormat="1" ht="31" customHeight="1" spans="1:79">
      <c r="A25" s="47">
        <v>24</v>
      </c>
      <c r="B25" s="47" t="s">
        <v>514</v>
      </c>
      <c r="C25" s="111" t="s">
        <v>515</v>
      </c>
      <c r="D25" s="111" t="str">
        <f t="shared" si="0"/>
        <v>男</v>
      </c>
      <c r="E25" s="47" t="s">
        <v>417</v>
      </c>
      <c r="F25" s="47" t="s">
        <v>144</v>
      </c>
      <c r="G25" s="58" t="s">
        <v>516</v>
      </c>
      <c r="H25" s="122">
        <v>44349</v>
      </c>
      <c r="I25" s="139" t="s">
        <v>517</v>
      </c>
      <c r="J25" s="265" t="s">
        <v>518</v>
      </c>
      <c r="K25" s="138" t="s">
        <v>116</v>
      </c>
      <c r="L25" s="58" t="s">
        <v>519</v>
      </c>
      <c r="M25" s="47" t="s">
        <v>282</v>
      </c>
      <c r="N25" s="58" t="s">
        <v>520</v>
      </c>
      <c r="O25" s="32" t="str">
        <f t="shared" si="4"/>
        <v>1968-03-01</v>
      </c>
      <c r="P25" s="34">
        <f ca="1" t="shared" si="2"/>
        <v>58</v>
      </c>
      <c r="Q25" s="47">
        <f ca="1" t="shared" si="7"/>
        <v>5</v>
      </c>
      <c r="R25" s="28" t="s">
        <v>88</v>
      </c>
      <c r="S25" s="47" t="s">
        <v>89</v>
      </c>
      <c r="T25" s="111" t="s">
        <v>90</v>
      </c>
      <c r="U25" s="47" t="s">
        <v>91</v>
      </c>
      <c r="V25" s="47" t="s">
        <v>92</v>
      </c>
      <c r="W25" s="47"/>
      <c r="X25" s="47"/>
      <c r="Y25" s="37" t="s">
        <v>521</v>
      </c>
      <c r="Z25" s="47">
        <v>2019.3</v>
      </c>
      <c r="AA25" s="47">
        <v>2021.6</v>
      </c>
      <c r="AB25" s="47" t="s">
        <v>94</v>
      </c>
      <c r="AC25" s="47"/>
      <c r="AD25" s="47"/>
      <c r="AE25" s="47"/>
      <c r="AF25" s="154" t="s">
        <v>122</v>
      </c>
      <c r="AG25" s="37"/>
      <c r="AH25" s="154"/>
      <c r="AI25" s="47"/>
      <c r="AJ25" s="47"/>
      <c r="AK25" s="47"/>
      <c r="AL25" s="47" t="s">
        <v>98</v>
      </c>
      <c r="AM25" s="47"/>
      <c r="AN25" s="111" t="s">
        <v>99</v>
      </c>
      <c r="AO25" s="58" t="s">
        <v>520</v>
      </c>
      <c r="AP25" s="37" t="s">
        <v>212</v>
      </c>
      <c r="AQ25" s="47" t="s">
        <v>522</v>
      </c>
      <c r="AR25" s="47" t="s">
        <v>214</v>
      </c>
      <c r="AS25" s="47">
        <v>52</v>
      </c>
      <c r="AT25" s="47" t="s">
        <v>445</v>
      </c>
      <c r="AU25" s="47" t="s">
        <v>522</v>
      </c>
      <c r="AV25" s="47" t="s">
        <v>104</v>
      </c>
      <c r="AW25" s="111">
        <v>18371141893</v>
      </c>
      <c r="AX25" s="37" t="s">
        <v>523</v>
      </c>
      <c r="AY25" s="47">
        <v>3</v>
      </c>
      <c r="AZ25" s="122">
        <v>44349</v>
      </c>
      <c r="BA25" s="123">
        <v>45809</v>
      </c>
      <c r="BB25" s="47" t="s">
        <v>106</v>
      </c>
      <c r="BC25" s="47"/>
      <c r="BD25" s="47"/>
      <c r="BE25" s="47"/>
      <c r="BF25" s="37"/>
      <c r="BG25" s="47"/>
      <c r="BH25" s="37" t="s">
        <v>524</v>
      </c>
      <c r="BI25" s="37"/>
      <c r="BJ25" s="37"/>
      <c r="BK25" s="47"/>
      <c r="BL25" s="274" t="s">
        <v>525</v>
      </c>
      <c r="BM25" s="47" t="s">
        <v>109</v>
      </c>
      <c r="BN25" s="37" t="s">
        <v>110</v>
      </c>
      <c r="BO25" s="47">
        <v>2021.7</v>
      </c>
      <c r="BP25" s="58" t="s">
        <v>526</v>
      </c>
      <c r="BQ25" s="269" t="s">
        <v>527</v>
      </c>
      <c r="BR25" s="47">
        <v>2021.7</v>
      </c>
      <c r="BS25" s="47" t="s">
        <v>111</v>
      </c>
      <c r="BT25" s="47"/>
      <c r="BU25" s="206" t="s">
        <v>164</v>
      </c>
      <c r="BV25" s="47"/>
      <c r="BW25" s="47"/>
      <c r="BX25" s="207">
        <v>44349</v>
      </c>
      <c r="BY25" s="197">
        <v>1968</v>
      </c>
      <c r="BZ25" s="47">
        <v>3</v>
      </c>
      <c r="CA25" s="47">
        <v>1</v>
      </c>
    </row>
    <row r="26" s="103" customFormat="1" ht="31" customHeight="1" spans="1:79">
      <c r="A26" s="47">
        <v>25</v>
      </c>
      <c r="B26" s="47" t="s">
        <v>528</v>
      </c>
      <c r="C26" s="47" t="s">
        <v>529</v>
      </c>
      <c r="D26" s="111" t="str">
        <f t="shared" si="0"/>
        <v>男</v>
      </c>
      <c r="E26" s="47" t="s">
        <v>417</v>
      </c>
      <c r="F26" s="47" t="s">
        <v>144</v>
      </c>
      <c r="G26" s="58" t="s">
        <v>516</v>
      </c>
      <c r="H26" s="123">
        <v>44706</v>
      </c>
      <c r="I26" s="111">
        <v>13597947515</v>
      </c>
      <c r="J26" s="270" t="s">
        <v>530</v>
      </c>
      <c r="K26" s="138" t="s">
        <v>116</v>
      </c>
      <c r="L26" s="37" t="s">
        <v>531</v>
      </c>
      <c r="M26" s="47" t="s">
        <v>149</v>
      </c>
      <c r="N26" s="37" t="s">
        <v>532</v>
      </c>
      <c r="O26" s="32" t="str">
        <f t="shared" si="4"/>
        <v>1987-09-03</v>
      </c>
      <c r="P26" s="34">
        <f ca="1" t="shared" si="2"/>
        <v>39</v>
      </c>
      <c r="Q26" s="47">
        <f ca="1" t="shared" si="7"/>
        <v>4</v>
      </c>
      <c r="R26" s="28" t="s">
        <v>88</v>
      </c>
      <c r="S26" s="47" t="s">
        <v>89</v>
      </c>
      <c r="T26" s="111" t="s">
        <v>90</v>
      </c>
      <c r="U26" s="47" t="s">
        <v>91</v>
      </c>
      <c r="V26" s="47" t="s">
        <v>92</v>
      </c>
      <c r="W26" s="47"/>
      <c r="X26" s="47"/>
      <c r="Y26" s="47" t="s">
        <v>533</v>
      </c>
      <c r="Z26" s="47">
        <v>2005</v>
      </c>
      <c r="AA26" s="47">
        <v>2022</v>
      </c>
      <c r="AB26" s="47" t="s">
        <v>534</v>
      </c>
      <c r="AC26" s="47"/>
      <c r="AD26" s="47"/>
      <c r="AE26" s="47"/>
      <c r="AF26" s="47" t="s">
        <v>122</v>
      </c>
      <c r="AG26" s="37" t="s">
        <v>535</v>
      </c>
      <c r="AH26" s="47"/>
      <c r="AI26" s="47">
        <v>2000.9</v>
      </c>
      <c r="AJ26" s="47">
        <v>2003.7</v>
      </c>
      <c r="AK26" s="47"/>
      <c r="AL26" s="47" t="s">
        <v>536</v>
      </c>
      <c r="AM26" s="47"/>
      <c r="AN26" s="111" t="s">
        <v>99</v>
      </c>
      <c r="AO26" s="37" t="s">
        <v>532</v>
      </c>
      <c r="AP26" s="37" t="s">
        <v>212</v>
      </c>
      <c r="AQ26" s="47" t="s">
        <v>537</v>
      </c>
      <c r="AR26" s="47" t="s">
        <v>214</v>
      </c>
      <c r="AS26" s="47">
        <v>35</v>
      </c>
      <c r="AT26" s="47" t="s">
        <v>538</v>
      </c>
      <c r="AU26" s="47" t="s">
        <v>537</v>
      </c>
      <c r="AV26" s="47" t="s">
        <v>104</v>
      </c>
      <c r="AW26" s="111">
        <v>13451209997</v>
      </c>
      <c r="AX26" s="37" t="s">
        <v>216</v>
      </c>
      <c r="AY26" s="47">
        <v>2</v>
      </c>
      <c r="AZ26" s="123">
        <v>44774</v>
      </c>
      <c r="BA26" s="123">
        <v>45869</v>
      </c>
      <c r="BB26" s="47" t="s">
        <v>106</v>
      </c>
      <c r="BC26" s="47"/>
      <c r="BD26" s="47"/>
      <c r="BE26" s="47"/>
      <c r="BF26" s="37"/>
      <c r="BG26" s="47"/>
      <c r="BH26" s="37" t="s">
        <v>539</v>
      </c>
      <c r="BI26" s="37"/>
      <c r="BJ26" s="37"/>
      <c r="BK26" s="47"/>
      <c r="BL26" s="268" t="s">
        <v>540</v>
      </c>
      <c r="BM26" s="47" t="s">
        <v>109</v>
      </c>
      <c r="BN26" s="37" t="s">
        <v>110</v>
      </c>
      <c r="BO26" s="47">
        <v>2022.8</v>
      </c>
      <c r="BP26" s="58" t="s">
        <v>541</v>
      </c>
      <c r="BQ26" s="37" t="s">
        <v>542</v>
      </c>
      <c r="BR26" s="47">
        <v>2022.8</v>
      </c>
      <c r="BS26" s="47" t="s">
        <v>111</v>
      </c>
      <c r="BT26" s="47"/>
      <c r="BU26" s="206" t="s">
        <v>382</v>
      </c>
      <c r="BV26" s="47"/>
      <c r="BW26" s="47"/>
      <c r="BX26" s="180">
        <v>44774</v>
      </c>
      <c r="BY26" s="197">
        <v>1987</v>
      </c>
      <c r="BZ26" s="47">
        <v>9</v>
      </c>
      <c r="CA26" s="47">
        <v>3</v>
      </c>
    </row>
    <row r="27" s="103" customFormat="1" ht="31" customHeight="1" spans="1:79">
      <c r="A27" s="47">
        <v>26</v>
      </c>
      <c r="B27" s="47" t="s">
        <v>543</v>
      </c>
      <c r="C27" s="47" t="s">
        <v>544</v>
      </c>
      <c r="D27" s="111" t="str">
        <f t="shared" si="0"/>
        <v>男</v>
      </c>
      <c r="E27" s="47" t="s">
        <v>417</v>
      </c>
      <c r="F27" s="47" t="s">
        <v>144</v>
      </c>
      <c r="G27" s="37" t="s">
        <v>516</v>
      </c>
      <c r="H27" s="123">
        <v>44824</v>
      </c>
      <c r="I27" s="47">
        <v>13774029675</v>
      </c>
      <c r="J27" s="270" t="s">
        <v>545</v>
      </c>
      <c r="K27" s="28" t="s">
        <v>224</v>
      </c>
      <c r="L27" s="58" t="s">
        <v>546</v>
      </c>
      <c r="M27" s="47" t="s">
        <v>149</v>
      </c>
      <c r="N27" s="58" t="s">
        <v>546</v>
      </c>
      <c r="O27" s="32" t="str">
        <f t="shared" si="4"/>
        <v>1974-08-13</v>
      </c>
      <c r="P27" s="34">
        <f ca="1" t="shared" si="2"/>
        <v>52</v>
      </c>
      <c r="Q27" s="47">
        <f ca="1" t="shared" si="7"/>
        <v>3</v>
      </c>
      <c r="R27" s="28" t="s">
        <v>88</v>
      </c>
      <c r="S27" s="47" t="s">
        <v>89</v>
      </c>
      <c r="T27" s="111" t="s">
        <v>90</v>
      </c>
      <c r="U27" s="47" t="s">
        <v>91</v>
      </c>
      <c r="V27" s="47" t="s">
        <v>92</v>
      </c>
      <c r="W27" s="47"/>
      <c r="X27" s="47"/>
      <c r="Y27" s="47" t="s">
        <v>547</v>
      </c>
      <c r="Z27" s="47">
        <v>2019.3</v>
      </c>
      <c r="AA27" s="47">
        <v>2022.11</v>
      </c>
      <c r="AB27" s="47" t="s">
        <v>94</v>
      </c>
      <c r="AC27" s="47"/>
      <c r="AD27" s="47"/>
      <c r="AE27" s="47"/>
      <c r="AF27" s="111" t="s">
        <v>96</v>
      </c>
      <c r="AG27" s="37"/>
      <c r="AH27" s="47"/>
      <c r="AI27" s="47"/>
      <c r="AJ27" s="47"/>
      <c r="AK27" s="47"/>
      <c r="AL27" s="47" t="s">
        <v>443</v>
      </c>
      <c r="AM27" s="47"/>
      <c r="AN27" s="111" t="s">
        <v>99</v>
      </c>
      <c r="AO27" s="58" t="s">
        <v>546</v>
      </c>
      <c r="AP27" s="37" t="s">
        <v>212</v>
      </c>
      <c r="AQ27" s="47" t="s">
        <v>548</v>
      </c>
      <c r="AR27" s="47" t="s">
        <v>214</v>
      </c>
      <c r="AS27" s="47">
        <v>48</v>
      </c>
      <c r="AT27" s="47" t="s">
        <v>178</v>
      </c>
      <c r="AU27" s="47" t="s">
        <v>549</v>
      </c>
      <c r="AV27" s="47" t="s">
        <v>393</v>
      </c>
      <c r="AW27" s="47">
        <v>13774020732</v>
      </c>
      <c r="AX27" s="37" t="s">
        <v>287</v>
      </c>
      <c r="AY27" s="47">
        <v>2</v>
      </c>
      <c r="AZ27" s="123">
        <v>44927</v>
      </c>
      <c r="BA27" s="123">
        <v>46022</v>
      </c>
      <c r="BB27" s="47" t="s">
        <v>106</v>
      </c>
      <c r="BC27" s="47"/>
      <c r="BD27" s="47"/>
      <c r="BE27" s="47"/>
      <c r="BF27" s="37"/>
      <c r="BG27" s="47"/>
      <c r="BH27" s="37"/>
      <c r="BI27" s="37"/>
      <c r="BJ27" s="37"/>
      <c r="BK27" s="47"/>
      <c r="BL27" s="268" t="s">
        <v>550</v>
      </c>
      <c r="BM27" s="47" t="s">
        <v>109</v>
      </c>
      <c r="BN27" s="37" t="s">
        <v>110</v>
      </c>
      <c r="BO27" s="47">
        <v>2024.1</v>
      </c>
      <c r="BP27" s="58"/>
      <c r="BQ27" s="37"/>
      <c r="BR27" s="47">
        <v>2024.1</v>
      </c>
      <c r="BS27" s="47" t="s">
        <v>111</v>
      </c>
      <c r="BT27" s="47"/>
      <c r="BU27" s="206" t="s">
        <v>164</v>
      </c>
      <c r="BV27" s="47"/>
      <c r="BW27" s="47"/>
      <c r="BX27" s="180">
        <v>44927</v>
      </c>
      <c r="BY27" s="197">
        <v>1974</v>
      </c>
      <c r="BZ27" s="47">
        <v>8</v>
      </c>
      <c r="CA27" s="47">
        <v>13</v>
      </c>
    </row>
    <row r="28" s="103" customFormat="1" ht="31" customHeight="1" spans="1:79">
      <c r="A28" s="47">
        <v>27</v>
      </c>
      <c r="B28" s="47" t="s">
        <v>551</v>
      </c>
      <c r="C28" s="47" t="s">
        <v>552</v>
      </c>
      <c r="D28" s="111" t="str">
        <f t="shared" si="0"/>
        <v>女</v>
      </c>
      <c r="E28" s="47" t="s">
        <v>417</v>
      </c>
      <c r="F28" s="47" t="s">
        <v>144</v>
      </c>
      <c r="G28" s="58" t="s">
        <v>553</v>
      </c>
      <c r="H28" s="123">
        <v>45102</v>
      </c>
      <c r="I28" s="47">
        <v>15872992452</v>
      </c>
      <c r="J28" s="265" t="s">
        <v>554</v>
      </c>
      <c r="K28" s="28" t="s">
        <v>116</v>
      </c>
      <c r="L28" s="58" t="s">
        <v>555</v>
      </c>
      <c r="M28" s="47" t="s">
        <v>187</v>
      </c>
      <c r="N28" s="58" t="s">
        <v>556</v>
      </c>
      <c r="O28" s="32" t="str">
        <f t="shared" si="4"/>
        <v>1979-11-24</v>
      </c>
      <c r="P28" s="34">
        <f ca="1" t="shared" si="2"/>
        <v>47</v>
      </c>
      <c r="Q28" s="47">
        <f ca="1" t="shared" si="7"/>
        <v>2</v>
      </c>
      <c r="R28" s="28" t="s">
        <v>88</v>
      </c>
      <c r="S28" s="47" t="s">
        <v>89</v>
      </c>
      <c r="T28" s="58" t="s">
        <v>90</v>
      </c>
      <c r="U28" s="47" t="s">
        <v>91</v>
      </c>
      <c r="V28" s="47" t="s">
        <v>92</v>
      </c>
      <c r="W28" s="47"/>
      <c r="X28" s="47"/>
      <c r="Y28" s="37" t="s">
        <v>557</v>
      </c>
      <c r="Z28" s="47">
        <v>2020.3</v>
      </c>
      <c r="AA28" s="47">
        <v>2023.6</v>
      </c>
      <c r="AB28" s="37" t="s">
        <v>558</v>
      </c>
      <c r="AC28" s="47"/>
      <c r="AD28" s="47" t="s">
        <v>559</v>
      </c>
      <c r="AE28" s="47"/>
      <c r="AF28" s="111" t="s">
        <v>96</v>
      </c>
      <c r="AG28" s="37" t="s">
        <v>97</v>
      </c>
      <c r="AH28" s="47"/>
      <c r="AI28" s="47">
        <v>1996.9</v>
      </c>
      <c r="AJ28" s="47">
        <v>1999.7</v>
      </c>
      <c r="AK28" s="47"/>
      <c r="AL28" s="47"/>
      <c r="AM28" s="47"/>
      <c r="AN28" s="111" t="s">
        <v>99</v>
      </c>
      <c r="AO28" s="58" t="s">
        <v>556</v>
      </c>
      <c r="AP28" s="37" t="s">
        <v>176</v>
      </c>
      <c r="AQ28" s="47" t="s">
        <v>560</v>
      </c>
      <c r="AR28" s="47" t="s">
        <v>102</v>
      </c>
      <c r="AS28" s="47">
        <v>43</v>
      </c>
      <c r="AT28" s="47" t="s">
        <v>178</v>
      </c>
      <c r="AU28" s="47" t="s">
        <v>560</v>
      </c>
      <c r="AV28" s="47" t="s">
        <v>104</v>
      </c>
      <c r="AW28" s="47">
        <v>13925546189</v>
      </c>
      <c r="AX28" s="37" t="s">
        <v>561</v>
      </c>
      <c r="AY28" s="47">
        <v>1</v>
      </c>
      <c r="AZ28" s="123">
        <v>45102</v>
      </c>
      <c r="BA28" s="123">
        <v>45930</v>
      </c>
      <c r="BB28" s="47" t="s">
        <v>562</v>
      </c>
      <c r="BC28" s="47" t="s">
        <v>160</v>
      </c>
      <c r="BD28" s="47"/>
      <c r="BE28" s="47"/>
      <c r="BF28" s="37"/>
      <c r="BG28" s="47"/>
      <c r="BH28" s="37"/>
      <c r="BI28" s="37"/>
      <c r="BJ28" s="37"/>
      <c r="BK28" s="47"/>
      <c r="BL28" s="268" t="s">
        <v>563</v>
      </c>
      <c r="BM28" s="47" t="s">
        <v>109</v>
      </c>
      <c r="BN28" s="37" t="s">
        <v>110</v>
      </c>
      <c r="BO28" s="65">
        <v>2023.1</v>
      </c>
      <c r="BP28" s="58" t="s">
        <v>564</v>
      </c>
      <c r="BQ28" s="269" t="s">
        <v>565</v>
      </c>
      <c r="BR28" s="65">
        <v>2023.1</v>
      </c>
      <c r="BS28" s="47" t="s">
        <v>111</v>
      </c>
      <c r="BT28" s="47"/>
      <c r="BU28" s="206" t="s">
        <v>219</v>
      </c>
      <c r="BV28" s="47"/>
      <c r="BW28" s="47"/>
      <c r="BX28" s="180">
        <v>45200</v>
      </c>
      <c r="BY28" s="197">
        <v>1979</v>
      </c>
      <c r="BZ28" s="47">
        <v>11</v>
      </c>
      <c r="CA28" s="47">
        <v>24</v>
      </c>
    </row>
    <row r="29" s="103" customFormat="1" ht="31" customHeight="1" spans="1:79">
      <c r="A29" s="47">
        <v>28</v>
      </c>
      <c r="B29" s="47" t="s">
        <v>566</v>
      </c>
      <c r="C29" s="47" t="s">
        <v>567</v>
      </c>
      <c r="D29" s="111" t="str">
        <f t="shared" si="0"/>
        <v>女</v>
      </c>
      <c r="E29" s="47" t="s">
        <v>417</v>
      </c>
      <c r="F29" s="47" t="s">
        <v>144</v>
      </c>
      <c r="G29" s="58" t="s">
        <v>568</v>
      </c>
      <c r="H29" s="123">
        <v>45108</v>
      </c>
      <c r="I29" s="47">
        <v>15923708983</v>
      </c>
      <c r="J29" s="265" t="s">
        <v>569</v>
      </c>
      <c r="K29" s="111" t="s">
        <v>570</v>
      </c>
      <c r="L29" s="58" t="s">
        <v>571</v>
      </c>
      <c r="M29" s="47" t="s">
        <v>149</v>
      </c>
      <c r="N29" s="58" t="s">
        <v>572</v>
      </c>
      <c r="O29" s="32" t="str">
        <f t="shared" si="4"/>
        <v>1999-02-18</v>
      </c>
      <c r="P29" s="34">
        <f ca="1" t="shared" si="2"/>
        <v>27</v>
      </c>
      <c r="Q29" s="47">
        <f ca="1" t="shared" si="7"/>
        <v>2</v>
      </c>
      <c r="R29" s="28" t="s">
        <v>88</v>
      </c>
      <c r="S29" s="47" t="s">
        <v>89</v>
      </c>
      <c r="T29" s="58" t="s">
        <v>90</v>
      </c>
      <c r="U29" s="47" t="s">
        <v>91</v>
      </c>
      <c r="V29" s="47" t="s">
        <v>92</v>
      </c>
      <c r="W29" s="47" t="s">
        <v>573</v>
      </c>
      <c r="X29" s="47"/>
      <c r="Y29" s="37" t="s">
        <v>574</v>
      </c>
      <c r="Z29" s="47">
        <v>2022.2</v>
      </c>
      <c r="AA29" s="47">
        <v>2023.4</v>
      </c>
      <c r="AB29" s="47" t="s">
        <v>575</v>
      </c>
      <c r="AC29" s="47"/>
      <c r="AD29" s="47"/>
      <c r="AE29" s="47">
        <v>18223742080</v>
      </c>
      <c r="AF29" s="111" t="s">
        <v>154</v>
      </c>
      <c r="AG29" s="37" t="s">
        <v>576</v>
      </c>
      <c r="AH29" s="47" t="s">
        <v>577</v>
      </c>
      <c r="AI29" s="47">
        <v>2018.9</v>
      </c>
      <c r="AJ29" s="47">
        <v>2021.6</v>
      </c>
      <c r="AK29" s="47"/>
      <c r="AL29" s="47"/>
      <c r="AM29" s="47"/>
      <c r="AN29" s="111" t="s">
        <v>194</v>
      </c>
      <c r="AO29" s="58" t="s">
        <v>572</v>
      </c>
      <c r="AP29" s="37" t="s">
        <v>100</v>
      </c>
      <c r="AQ29" s="47" t="s">
        <v>578</v>
      </c>
      <c r="AR29" s="47" t="s">
        <v>102</v>
      </c>
      <c r="AS29" s="47">
        <v>55</v>
      </c>
      <c r="AT29" s="47" t="s">
        <v>178</v>
      </c>
      <c r="AU29" s="47" t="s">
        <v>578</v>
      </c>
      <c r="AV29" s="47" t="s">
        <v>347</v>
      </c>
      <c r="AW29" s="47">
        <v>18779615686</v>
      </c>
      <c r="AX29" s="37" t="s">
        <v>561</v>
      </c>
      <c r="AY29" s="47">
        <v>1</v>
      </c>
      <c r="AZ29" s="123">
        <v>45108</v>
      </c>
      <c r="BA29" s="123">
        <v>45930</v>
      </c>
      <c r="BB29" s="47" t="s">
        <v>106</v>
      </c>
      <c r="BC29" s="47"/>
      <c r="BD29" s="47"/>
      <c r="BE29" s="47"/>
      <c r="BF29" s="37"/>
      <c r="BG29" s="47"/>
      <c r="BH29" s="37"/>
      <c r="BI29" s="37"/>
      <c r="BJ29" s="37"/>
      <c r="BK29" s="47"/>
      <c r="BL29" s="268" t="s">
        <v>579</v>
      </c>
      <c r="BM29" s="47" t="s">
        <v>109</v>
      </c>
      <c r="BN29" s="37" t="s">
        <v>110</v>
      </c>
      <c r="BO29" s="65">
        <v>2023.1</v>
      </c>
      <c r="BP29" s="58"/>
      <c r="BQ29" s="37"/>
      <c r="BR29" s="65">
        <v>2023.1</v>
      </c>
      <c r="BS29" s="47" t="s">
        <v>111</v>
      </c>
      <c r="BT29" s="47"/>
      <c r="BU29" s="206" t="s">
        <v>219</v>
      </c>
      <c r="BV29" s="47"/>
      <c r="BW29" s="47"/>
      <c r="BX29" s="180">
        <v>45200</v>
      </c>
      <c r="BY29" s="197">
        <v>1999</v>
      </c>
      <c r="BZ29" s="47">
        <v>2</v>
      </c>
      <c r="CA29" s="47">
        <v>18</v>
      </c>
    </row>
    <row r="30" s="103" customFormat="1" ht="31" customHeight="1" spans="1:79">
      <c r="A30" s="47">
        <v>29</v>
      </c>
      <c r="B30" s="111" t="s">
        <v>580</v>
      </c>
      <c r="C30" s="47" t="s">
        <v>581</v>
      </c>
      <c r="D30" s="111" t="str">
        <f t="shared" si="0"/>
        <v>女</v>
      </c>
      <c r="E30" s="47" t="s">
        <v>417</v>
      </c>
      <c r="F30" s="47" t="s">
        <v>144</v>
      </c>
      <c r="G30" s="58" t="s">
        <v>582</v>
      </c>
      <c r="H30" s="123">
        <v>45145</v>
      </c>
      <c r="I30" s="47">
        <v>18086288036</v>
      </c>
      <c r="J30" s="270" t="s">
        <v>583</v>
      </c>
      <c r="K30" s="28" t="s">
        <v>116</v>
      </c>
      <c r="L30" s="58" t="s">
        <v>584</v>
      </c>
      <c r="M30" s="47" t="s">
        <v>187</v>
      </c>
      <c r="N30" s="58" t="s">
        <v>584</v>
      </c>
      <c r="O30" s="32" t="str">
        <f t="shared" si="4"/>
        <v>1982-10-08</v>
      </c>
      <c r="P30" s="34">
        <f ca="1" t="shared" si="2"/>
        <v>44</v>
      </c>
      <c r="Q30" s="47">
        <f ca="1" t="shared" si="7"/>
        <v>2</v>
      </c>
      <c r="R30" s="28" t="s">
        <v>88</v>
      </c>
      <c r="S30" s="47" t="s">
        <v>89</v>
      </c>
      <c r="T30" s="111" t="s">
        <v>90</v>
      </c>
      <c r="U30" s="47" t="s">
        <v>91</v>
      </c>
      <c r="V30" s="47" t="s">
        <v>92</v>
      </c>
      <c r="W30" s="47"/>
      <c r="X30" s="47"/>
      <c r="Y30" s="47" t="s">
        <v>585</v>
      </c>
      <c r="Z30" s="47">
        <v>2015.3</v>
      </c>
      <c r="AA30" s="47">
        <v>2018.8</v>
      </c>
      <c r="AB30" s="47" t="s">
        <v>586</v>
      </c>
      <c r="AC30" s="47"/>
      <c r="AD30" s="47"/>
      <c r="AE30" s="47"/>
      <c r="AF30" s="111" t="s">
        <v>96</v>
      </c>
      <c r="AG30" s="37" t="s">
        <v>587</v>
      </c>
      <c r="AH30" s="37" t="s">
        <v>362</v>
      </c>
      <c r="AI30" s="47">
        <v>1999.9</v>
      </c>
      <c r="AJ30" s="47">
        <v>2001.7</v>
      </c>
      <c r="AK30" s="47"/>
      <c r="AL30" s="47"/>
      <c r="AM30" s="47"/>
      <c r="AN30" s="111" t="s">
        <v>99</v>
      </c>
      <c r="AO30" s="58" t="s">
        <v>584</v>
      </c>
      <c r="AP30" s="37" t="s">
        <v>176</v>
      </c>
      <c r="AQ30" s="47" t="s">
        <v>588</v>
      </c>
      <c r="AR30" s="47" t="s">
        <v>102</v>
      </c>
      <c r="AS30" s="47">
        <v>43</v>
      </c>
      <c r="AT30" s="47" t="s">
        <v>178</v>
      </c>
      <c r="AU30" s="47" t="s">
        <v>588</v>
      </c>
      <c r="AV30" s="47" t="s">
        <v>104</v>
      </c>
      <c r="AW30" s="47">
        <v>18086288236</v>
      </c>
      <c r="AX30" s="175" t="s">
        <v>589</v>
      </c>
      <c r="AY30" s="47">
        <v>1</v>
      </c>
      <c r="AZ30" s="123">
        <v>45145</v>
      </c>
      <c r="BA30" s="123">
        <v>45961</v>
      </c>
      <c r="BB30" s="47" t="s">
        <v>562</v>
      </c>
      <c r="BC30" s="47" t="s">
        <v>590</v>
      </c>
      <c r="BD30" s="47"/>
      <c r="BE30" s="47"/>
      <c r="BF30" s="37"/>
      <c r="BG30" s="47"/>
      <c r="BH30" s="37"/>
      <c r="BI30" s="37"/>
      <c r="BJ30" s="37"/>
      <c r="BK30" s="47"/>
      <c r="BL30" s="268" t="s">
        <v>591</v>
      </c>
      <c r="BM30" s="47" t="s">
        <v>109</v>
      </c>
      <c r="BN30" s="37" t="s">
        <v>110</v>
      </c>
      <c r="BO30" s="47">
        <v>2023.11</v>
      </c>
      <c r="BP30" s="58" t="s">
        <v>592</v>
      </c>
      <c r="BQ30" s="269" t="s">
        <v>593</v>
      </c>
      <c r="BR30" s="47">
        <v>2023.11</v>
      </c>
      <c r="BS30" s="47" t="s">
        <v>111</v>
      </c>
      <c r="BT30" s="47"/>
      <c r="BU30" s="206" t="s">
        <v>594</v>
      </c>
      <c r="BV30" s="47"/>
      <c r="BW30" s="47"/>
      <c r="BX30" s="180">
        <v>45231</v>
      </c>
      <c r="BY30" s="197">
        <v>1982</v>
      </c>
      <c r="BZ30" s="47">
        <v>10</v>
      </c>
      <c r="CA30" s="47">
        <v>8</v>
      </c>
    </row>
    <row r="31" s="103" customFormat="1" ht="31" customHeight="1" spans="1:79">
      <c r="A31" s="47">
        <v>30</v>
      </c>
      <c r="B31" s="111" t="s">
        <v>595</v>
      </c>
      <c r="C31" s="47" t="s">
        <v>596</v>
      </c>
      <c r="D31" s="111" t="str">
        <f t="shared" si="0"/>
        <v>男</v>
      </c>
      <c r="E31" s="47" t="s">
        <v>417</v>
      </c>
      <c r="F31" s="47" t="s">
        <v>144</v>
      </c>
      <c r="G31" s="58" t="s">
        <v>516</v>
      </c>
      <c r="H31" s="123">
        <v>45341</v>
      </c>
      <c r="I31" s="47">
        <v>15759531811</v>
      </c>
      <c r="J31" s="270" t="s">
        <v>597</v>
      </c>
      <c r="K31" s="28" t="s">
        <v>116</v>
      </c>
      <c r="L31" s="58" t="s">
        <v>598</v>
      </c>
      <c r="M31" s="47" t="s">
        <v>149</v>
      </c>
      <c r="N31" s="58" t="s">
        <v>598</v>
      </c>
      <c r="O31" s="32" t="str">
        <f t="shared" si="4"/>
        <v>1969-11-11</v>
      </c>
      <c r="P31" s="34">
        <f ca="1" t="shared" si="2"/>
        <v>57</v>
      </c>
      <c r="Q31" s="47">
        <f ca="1" t="shared" si="7"/>
        <v>2</v>
      </c>
      <c r="R31" s="28" t="s">
        <v>88</v>
      </c>
      <c r="S31" s="47" t="s">
        <v>245</v>
      </c>
      <c r="T31" s="111" t="s">
        <v>90</v>
      </c>
      <c r="U31" s="47" t="s">
        <v>91</v>
      </c>
      <c r="V31" s="47" t="s">
        <v>92</v>
      </c>
      <c r="W31" s="47"/>
      <c r="X31" s="47"/>
      <c r="Y31" s="47" t="s">
        <v>599</v>
      </c>
      <c r="Z31" s="47">
        <v>2020.6</v>
      </c>
      <c r="AA31" s="47">
        <v>2023.1</v>
      </c>
      <c r="AB31" s="47" t="s">
        <v>600</v>
      </c>
      <c r="AC31" s="47"/>
      <c r="AD31" s="47"/>
      <c r="AE31" s="47"/>
      <c r="AF31" s="111" t="s">
        <v>122</v>
      </c>
      <c r="AG31" s="37"/>
      <c r="AH31" s="37"/>
      <c r="AI31" s="47"/>
      <c r="AJ31" s="47"/>
      <c r="AK31" s="47"/>
      <c r="AL31" s="47"/>
      <c r="AM31" s="47"/>
      <c r="AN31" s="111" t="s">
        <v>99</v>
      </c>
      <c r="AO31" s="58" t="s">
        <v>598</v>
      </c>
      <c r="AP31" s="37" t="s">
        <v>331</v>
      </c>
      <c r="AQ31" s="37" t="s">
        <v>601</v>
      </c>
      <c r="AR31" s="47" t="s">
        <v>214</v>
      </c>
      <c r="AS31" s="47">
        <v>32</v>
      </c>
      <c r="AT31" s="47" t="s">
        <v>445</v>
      </c>
      <c r="AU31" s="47" t="s">
        <v>602</v>
      </c>
      <c r="AV31" s="47" t="s">
        <v>603</v>
      </c>
      <c r="AW31" s="47">
        <v>13437737687</v>
      </c>
      <c r="AX31" s="175" t="s">
        <v>604</v>
      </c>
      <c r="AY31" s="47">
        <v>0</v>
      </c>
      <c r="AZ31" s="123">
        <v>45413</v>
      </c>
      <c r="BA31" s="123">
        <v>45777</v>
      </c>
      <c r="BB31" s="47" t="s">
        <v>106</v>
      </c>
      <c r="BC31" s="47"/>
      <c r="BD31" s="47"/>
      <c r="BE31" s="47"/>
      <c r="BF31" s="37"/>
      <c r="BG31" s="47"/>
      <c r="BH31" s="37"/>
      <c r="BI31" s="37"/>
      <c r="BJ31" s="37"/>
      <c r="BK31" s="47"/>
      <c r="BL31" s="268" t="s">
        <v>605</v>
      </c>
      <c r="BM31" s="47"/>
      <c r="BN31" s="37"/>
      <c r="BO31" s="47"/>
      <c r="BP31" s="58"/>
      <c r="BQ31" s="37"/>
      <c r="BR31" s="47"/>
      <c r="BS31" s="47" t="s">
        <v>111</v>
      </c>
      <c r="BT31" s="47"/>
      <c r="BU31" s="206" t="s">
        <v>606</v>
      </c>
      <c r="BV31" s="47"/>
      <c r="BW31" s="47"/>
      <c r="BX31" s="180">
        <v>45413</v>
      </c>
      <c r="BY31" s="197">
        <v>1969</v>
      </c>
      <c r="BZ31" s="47">
        <v>11</v>
      </c>
      <c r="CA31" s="47">
        <v>11</v>
      </c>
    </row>
    <row r="32" s="103" customFormat="1" ht="31" customHeight="1" spans="1:79">
      <c r="A32" s="47">
        <v>31</v>
      </c>
      <c r="B32" s="111" t="s">
        <v>607</v>
      </c>
      <c r="C32" s="47" t="s">
        <v>608</v>
      </c>
      <c r="D32" s="111" t="str">
        <f t="shared" si="0"/>
        <v>男</v>
      </c>
      <c r="E32" s="47" t="s">
        <v>417</v>
      </c>
      <c r="F32" s="47" t="s">
        <v>144</v>
      </c>
      <c r="G32" s="58" t="s">
        <v>609</v>
      </c>
      <c r="H32" s="123">
        <v>45342</v>
      </c>
      <c r="I32" s="47">
        <v>15071980390</v>
      </c>
      <c r="J32" s="270" t="s">
        <v>610</v>
      </c>
      <c r="K32" s="28" t="s">
        <v>116</v>
      </c>
      <c r="L32" s="58" t="s">
        <v>611</v>
      </c>
      <c r="M32" s="47" t="s">
        <v>149</v>
      </c>
      <c r="N32" s="58" t="s">
        <v>612</v>
      </c>
      <c r="O32" s="32" t="str">
        <f t="shared" si="4"/>
        <v>1981-07-15</v>
      </c>
      <c r="P32" s="34">
        <f ca="1" t="shared" si="2"/>
        <v>45</v>
      </c>
      <c r="Q32" s="47">
        <f ca="1" t="shared" si="7"/>
        <v>2</v>
      </c>
      <c r="R32" s="28" t="s">
        <v>88</v>
      </c>
      <c r="S32" s="47" t="s">
        <v>89</v>
      </c>
      <c r="T32" s="111" t="s">
        <v>90</v>
      </c>
      <c r="U32" s="47" t="s">
        <v>91</v>
      </c>
      <c r="V32" s="47" t="s">
        <v>92</v>
      </c>
      <c r="W32" s="47"/>
      <c r="X32" s="47"/>
      <c r="Y32" s="47" t="s">
        <v>613</v>
      </c>
      <c r="Z32" s="47">
        <v>2022.9</v>
      </c>
      <c r="AA32" s="47">
        <v>2024.1</v>
      </c>
      <c r="AB32" s="47" t="s">
        <v>614</v>
      </c>
      <c r="AC32" s="47"/>
      <c r="AD32" s="47" t="s">
        <v>615</v>
      </c>
      <c r="AE32" s="47">
        <v>13317510186</v>
      </c>
      <c r="AF32" s="111" t="s">
        <v>154</v>
      </c>
      <c r="AG32" s="37" t="s">
        <v>616</v>
      </c>
      <c r="AH32" s="37" t="s">
        <v>617</v>
      </c>
      <c r="AI32" s="47">
        <v>2001.9</v>
      </c>
      <c r="AJ32" s="47">
        <v>2004.6</v>
      </c>
      <c r="AK32" s="47"/>
      <c r="AL32" s="47"/>
      <c r="AM32" s="47"/>
      <c r="AN32" s="111" t="s">
        <v>99</v>
      </c>
      <c r="AO32" s="58" t="s">
        <v>611</v>
      </c>
      <c r="AP32" s="37" t="s">
        <v>100</v>
      </c>
      <c r="AQ32" s="47" t="s">
        <v>618</v>
      </c>
      <c r="AR32" s="47" t="s">
        <v>102</v>
      </c>
      <c r="AS32" s="47">
        <v>67</v>
      </c>
      <c r="AT32" s="47" t="s">
        <v>619</v>
      </c>
      <c r="AU32" s="47" t="s">
        <v>620</v>
      </c>
      <c r="AV32" s="47" t="s">
        <v>104</v>
      </c>
      <c r="AW32" s="47">
        <v>15071980074</v>
      </c>
      <c r="AX32" s="175" t="s">
        <v>604</v>
      </c>
      <c r="AY32" s="47">
        <v>0</v>
      </c>
      <c r="AZ32" s="123">
        <v>45413</v>
      </c>
      <c r="BA32" s="123">
        <v>45777</v>
      </c>
      <c r="BB32" s="47" t="s">
        <v>106</v>
      </c>
      <c r="BC32" s="47"/>
      <c r="BD32" s="47"/>
      <c r="BE32" s="47"/>
      <c r="BF32" s="37"/>
      <c r="BG32" s="47"/>
      <c r="BH32" s="37"/>
      <c r="BI32" s="37"/>
      <c r="BJ32" s="37"/>
      <c r="BK32" s="47"/>
      <c r="BL32" s="268" t="s">
        <v>621</v>
      </c>
      <c r="BM32" s="47" t="s">
        <v>109</v>
      </c>
      <c r="BN32" s="37" t="s">
        <v>110</v>
      </c>
      <c r="BO32" s="47">
        <v>2024.5</v>
      </c>
      <c r="BP32" s="58"/>
      <c r="BQ32" s="37"/>
      <c r="BR32" s="47">
        <v>2024.5</v>
      </c>
      <c r="BS32" s="47" t="s">
        <v>111</v>
      </c>
      <c r="BT32" s="47"/>
      <c r="BU32" s="206" t="s">
        <v>606</v>
      </c>
      <c r="BV32" s="47"/>
      <c r="BW32" s="47"/>
      <c r="BX32" s="180">
        <v>45413</v>
      </c>
      <c r="BY32" s="197">
        <v>1981</v>
      </c>
      <c r="BZ32" s="47">
        <v>7</v>
      </c>
      <c r="CA32" s="47">
        <v>15</v>
      </c>
    </row>
    <row r="33" s="103" customFormat="1" ht="31" customHeight="1" spans="1:79">
      <c r="A33" s="47">
        <v>32</v>
      </c>
      <c r="B33" s="111" t="s">
        <v>622</v>
      </c>
      <c r="C33" s="47" t="s">
        <v>126</v>
      </c>
      <c r="D33" s="111" t="str">
        <f t="shared" si="0"/>
        <v>男</v>
      </c>
      <c r="E33" s="47" t="s">
        <v>417</v>
      </c>
      <c r="F33" s="47" t="s">
        <v>144</v>
      </c>
      <c r="G33" s="58" t="s">
        <v>516</v>
      </c>
      <c r="H33" s="123">
        <v>45353</v>
      </c>
      <c r="I33" s="47">
        <v>13597923212</v>
      </c>
      <c r="J33" s="270" t="s">
        <v>623</v>
      </c>
      <c r="K33" s="28" t="s">
        <v>116</v>
      </c>
      <c r="L33" s="58" t="s">
        <v>624</v>
      </c>
      <c r="M33" s="47" t="s">
        <v>282</v>
      </c>
      <c r="N33" s="58" t="s">
        <v>118</v>
      </c>
      <c r="O33" s="32" t="str">
        <f t="shared" si="4"/>
        <v>1986-09-05</v>
      </c>
      <c r="P33" s="34">
        <f ca="1" t="shared" si="2"/>
        <v>40</v>
      </c>
      <c r="Q33" s="47">
        <f ca="1" t="shared" si="7"/>
        <v>2</v>
      </c>
      <c r="R33" s="28" t="s">
        <v>88</v>
      </c>
      <c r="S33" s="47" t="s">
        <v>89</v>
      </c>
      <c r="T33" s="111" t="s">
        <v>90</v>
      </c>
      <c r="U33" s="47" t="s">
        <v>91</v>
      </c>
      <c r="V33" s="47" t="s">
        <v>92</v>
      </c>
      <c r="W33" s="47"/>
      <c r="X33" s="47"/>
      <c r="Y33" s="47" t="s">
        <v>625</v>
      </c>
      <c r="Z33" s="63" t="s">
        <v>626</v>
      </c>
      <c r="AA33" s="47">
        <v>2024.2</v>
      </c>
      <c r="AB33" s="47" t="s">
        <v>153</v>
      </c>
      <c r="AC33" s="47"/>
      <c r="AD33" s="47"/>
      <c r="AE33" s="47"/>
      <c r="AF33" s="111" t="s">
        <v>96</v>
      </c>
      <c r="AG33" s="37" t="s">
        <v>587</v>
      </c>
      <c r="AH33" s="37" t="s">
        <v>627</v>
      </c>
      <c r="AI33" s="47">
        <v>2002.9</v>
      </c>
      <c r="AJ33" s="47">
        <v>2005.6</v>
      </c>
      <c r="AK33" s="47" t="s">
        <v>628</v>
      </c>
      <c r="AL33" s="47" t="s">
        <v>516</v>
      </c>
      <c r="AM33" s="47" t="s">
        <v>629</v>
      </c>
      <c r="AN33" s="111" t="s">
        <v>99</v>
      </c>
      <c r="AO33" s="58" t="s">
        <v>118</v>
      </c>
      <c r="AP33" s="37" t="s">
        <v>100</v>
      </c>
      <c r="AQ33" s="47" t="s">
        <v>630</v>
      </c>
      <c r="AR33" s="47" t="s">
        <v>102</v>
      </c>
      <c r="AS33" s="47">
        <v>62</v>
      </c>
      <c r="AT33" s="47" t="s">
        <v>619</v>
      </c>
      <c r="AU33" s="47" t="s">
        <v>113</v>
      </c>
      <c r="AV33" s="47" t="s">
        <v>104</v>
      </c>
      <c r="AW33" s="47">
        <v>13627155205</v>
      </c>
      <c r="AX33" s="175" t="s">
        <v>604</v>
      </c>
      <c r="AY33" s="47">
        <v>0</v>
      </c>
      <c r="AZ33" s="123">
        <v>45413</v>
      </c>
      <c r="BA33" s="123">
        <v>45777</v>
      </c>
      <c r="BB33" s="47" t="s">
        <v>562</v>
      </c>
      <c r="BC33" s="47" t="s">
        <v>80</v>
      </c>
      <c r="BD33" s="47"/>
      <c r="BE33" s="47"/>
      <c r="BF33" s="37"/>
      <c r="BG33" s="47"/>
      <c r="BH33" s="37"/>
      <c r="BI33" s="37"/>
      <c r="BJ33" s="37"/>
      <c r="BK33" s="47"/>
      <c r="BL33" s="268" t="s">
        <v>631</v>
      </c>
      <c r="BM33" s="47" t="s">
        <v>109</v>
      </c>
      <c r="BN33" s="37" t="s">
        <v>110</v>
      </c>
      <c r="BO33" s="47">
        <v>2024.5</v>
      </c>
      <c r="BP33" s="58"/>
      <c r="BQ33" s="37"/>
      <c r="BR33" s="47">
        <v>2024.5</v>
      </c>
      <c r="BS33" s="47" t="s">
        <v>111</v>
      </c>
      <c r="BT33" s="47"/>
      <c r="BU33" s="206" t="s">
        <v>632</v>
      </c>
      <c r="BV33" s="47"/>
      <c r="BW33" s="47"/>
      <c r="BX33" s="180">
        <v>45413</v>
      </c>
      <c r="BY33" s="197">
        <v>1986</v>
      </c>
      <c r="BZ33" s="47">
        <v>9</v>
      </c>
      <c r="CA33" s="47">
        <v>5</v>
      </c>
    </row>
    <row r="34" s="103" customFormat="1" ht="31" customHeight="1" spans="1:79">
      <c r="A34" s="47">
        <v>33</v>
      </c>
      <c r="B34" s="111" t="s">
        <v>633</v>
      </c>
      <c r="C34" s="47" t="s">
        <v>634</v>
      </c>
      <c r="D34" s="111" t="str">
        <f t="shared" si="0"/>
        <v>男</v>
      </c>
      <c r="E34" s="47" t="s">
        <v>417</v>
      </c>
      <c r="F34" s="47" t="s">
        <v>144</v>
      </c>
      <c r="G34" s="58" t="s">
        <v>516</v>
      </c>
      <c r="H34" s="123">
        <v>45439</v>
      </c>
      <c r="I34" s="47">
        <v>17683894039</v>
      </c>
      <c r="J34" s="270" t="s">
        <v>635</v>
      </c>
      <c r="K34" s="28" t="s">
        <v>116</v>
      </c>
      <c r="L34" s="58" t="s">
        <v>636</v>
      </c>
      <c r="M34" s="47" t="s">
        <v>149</v>
      </c>
      <c r="N34" s="58" t="s">
        <v>637</v>
      </c>
      <c r="O34" s="32" t="str">
        <f t="shared" si="4"/>
        <v>1994-12-11</v>
      </c>
      <c r="P34" s="34">
        <f ca="1" t="shared" si="2"/>
        <v>32</v>
      </c>
      <c r="Q34" s="47">
        <f ca="1" t="shared" si="7"/>
        <v>2</v>
      </c>
      <c r="R34" s="28" t="s">
        <v>88</v>
      </c>
      <c r="S34" s="47" t="s">
        <v>89</v>
      </c>
      <c r="T34" s="111" t="s">
        <v>90</v>
      </c>
      <c r="U34" s="47" t="s">
        <v>91</v>
      </c>
      <c r="V34" s="47" t="s">
        <v>92</v>
      </c>
      <c r="W34" s="47"/>
      <c r="X34" s="47"/>
      <c r="Y34" s="47" t="s">
        <v>600</v>
      </c>
      <c r="Z34" s="63"/>
      <c r="AA34" s="47"/>
      <c r="AB34" s="47"/>
      <c r="AC34" s="47"/>
      <c r="AD34" s="47"/>
      <c r="AE34" s="47"/>
      <c r="AF34" s="111" t="s">
        <v>96</v>
      </c>
      <c r="AG34" s="37"/>
      <c r="AH34" s="37"/>
      <c r="AI34" s="47"/>
      <c r="AJ34" s="47"/>
      <c r="AK34" s="47"/>
      <c r="AL34" s="47" t="s">
        <v>516</v>
      </c>
      <c r="AM34" s="47"/>
      <c r="AN34" s="111" t="s">
        <v>99</v>
      </c>
      <c r="AO34" s="58" t="s">
        <v>637</v>
      </c>
      <c r="AP34" s="37" t="s">
        <v>212</v>
      </c>
      <c r="AQ34" s="47" t="s">
        <v>638</v>
      </c>
      <c r="AR34" s="47" t="s">
        <v>214</v>
      </c>
      <c r="AS34" s="47"/>
      <c r="AT34" s="47"/>
      <c r="AU34" s="47" t="s">
        <v>638</v>
      </c>
      <c r="AV34" s="47" t="s">
        <v>104</v>
      </c>
      <c r="AW34" s="47">
        <v>15872961220</v>
      </c>
      <c r="AX34" s="175" t="s">
        <v>639</v>
      </c>
      <c r="AY34" s="47">
        <v>0</v>
      </c>
      <c r="AZ34" s="123">
        <v>45536</v>
      </c>
      <c r="BA34" s="123">
        <v>45900</v>
      </c>
      <c r="BB34" s="47" t="s">
        <v>562</v>
      </c>
      <c r="BC34" s="47" t="s">
        <v>80</v>
      </c>
      <c r="BD34" s="47"/>
      <c r="BE34" s="47"/>
      <c r="BF34" s="37"/>
      <c r="BG34" s="47"/>
      <c r="BH34" s="37"/>
      <c r="BI34" s="37"/>
      <c r="BJ34" s="37"/>
      <c r="BK34" s="47"/>
      <c r="BL34" s="268" t="s">
        <v>640</v>
      </c>
      <c r="BM34" s="47" t="s">
        <v>109</v>
      </c>
      <c r="BN34" s="37" t="s">
        <v>110</v>
      </c>
      <c r="BO34" s="47">
        <v>2024.9</v>
      </c>
      <c r="BP34" s="58"/>
      <c r="BQ34" s="37"/>
      <c r="BR34" s="47">
        <v>2024.9</v>
      </c>
      <c r="BS34" s="47" t="s">
        <v>111</v>
      </c>
      <c r="BT34" s="47"/>
      <c r="BU34" s="206" t="s">
        <v>641</v>
      </c>
      <c r="BV34" s="47"/>
      <c r="BW34" s="47"/>
      <c r="BX34" s="180">
        <v>45536</v>
      </c>
      <c r="BY34" s="197">
        <v>1994</v>
      </c>
      <c r="BZ34" s="47">
        <v>12</v>
      </c>
      <c r="CA34" s="47">
        <v>11</v>
      </c>
    </row>
    <row r="35" s="103" customFormat="1" ht="31" customHeight="1" spans="1:79">
      <c r="A35" s="47">
        <v>34</v>
      </c>
      <c r="B35" s="47" t="s">
        <v>642</v>
      </c>
      <c r="C35" s="58" t="s">
        <v>643</v>
      </c>
      <c r="D35" s="111" t="str">
        <f t="shared" si="0"/>
        <v>男</v>
      </c>
      <c r="E35" s="47" t="s">
        <v>644</v>
      </c>
      <c r="F35" s="47" t="s">
        <v>144</v>
      </c>
      <c r="G35" s="116" t="s">
        <v>645</v>
      </c>
      <c r="H35" s="18">
        <v>42380</v>
      </c>
      <c r="I35" s="130">
        <v>13997942772</v>
      </c>
      <c r="J35" s="27" t="s">
        <v>646</v>
      </c>
      <c r="K35" s="28" t="s">
        <v>647</v>
      </c>
      <c r="L35" s="28" t="s">
        <v>648</v>
      </c>
      <c r="M35" s="47" t="s">
        <v>282</v>
      </c>
      <c r="N35" s="28" t="s">
        <v>649</v>
      </c>
      <c r="O35" s="32" t="str">
        <f t="shared" si="4"/>
        <v>1972-05-20</v>
      </c>
      <c r="P35" s="34">
        <f ca="1" t="shared" si="2"/>
        <v>54</v>
      </c>
      <c r="Q35" s="47">
        <f ca="1" t="shared" si="7"/>
        <v>10</v>
      </c>
      <c r="R35" s="28" t="s">
        <v>88</v>
      </c>
      <c r="S35" s="47" t="s">
        <v>89</v>
      </c>
      <c r="T35" s="28" t="s">
        <v>90</v>
      </c>
      <c r="U35" s="47" t="s">
        <v>91</v>
      </c>
      <c r="V35" s="47" t="s">
        <v>92</v>
      </c>
      <c r="W35" s="47" t="s">
        <v>151</v>
      </c>
      <c r="X35" s="47"/>
      <c r="Y35" s="37" t="s">
        <v>227</v>
      </c>
      <c r="Z35" s="47">
        <v>2008.4</v>
      </c>
      <c r="AA35" s="47">
        <v>2014.1</v>
      </c>
      <c r="AB35" s="47" t="s">
        <v>650</v>
      </c>
      <c r="AC35" s="47"/>
      <c r="AD35" s="47" t="s">
        <v>651</v>
      </c>
      <c r="AE35" s="47">
        <v>13597999298</v>
      </c>
      <c r="AF35" s="28" t="s">
        <v>96</v>
      </c>
      <c r="AG35" s="37" t="s">
        <v>652</v>
      </c>
      <c r="AH35" s="28"/>
      <c r="AI35" s="47">
        <v>1989.9</v>
      </c>
      <c r="AJ35" s="47">
        <v>1992.6</v>
      </c>
      <c r="AK35" s="47" t="s">
        <v>653</v>
      </c>
      <c r="AL35" s="37" t="s">
        <v>654</v>
      </c>
      <c r="AM35" s="47"/>
      <c r="AN35" s="111" t="s">
        <v>99</v>
      </c>
      <c r="AO35" s="28" t="s">
        <v>649</v>
      </c>
      <c r="AP35" s="37" t="s">
        <v>212</v>
      </c>
      <c r="AQ35" s="47" t="s">
        <v>655</v>
      </c>
      <c r="AR35" s="47" t="s">
        <v>214</v>
      </c>
      <c r="AS35" s="47">
        <v>48</v>
      </c>
      <c r="AT35" s="47" t="s">
        <v>445</v>
      </c>
      <c r="AU35" s="47" t="s">
        <v>655</v>
      </c>
      <c r="AV35" s="47" t="s">
        <v>104</v>
      </c>
      <c r="AW35" s="28">
        <v>13593780386</v>
      </c>
      <c r="AX35" s="37" t="s">
        <v>508</v>
      </c>
      <c r="AY35" s="47">
        <v>5</v>
      </c>
      <c r="AZ35" s="50">
        <v>42470</v>
      </c>
      <c r="BA35" s="123">
        <v>46326</v>
      </c>
      <c r="BB35" s="47" t="s">
        <v>106</v>
      </c>
      <c r="BC35" s="47"/>
      <c r="BD35" s="47"/>
      <c r="BE35" s="47"/>
      <c r="BF35" s="37"/>
      <c r="BG35" s="47"/>
      <c r="BH35" s="37" t="s">
        <v>656</v>
      </c>
      <c r="BI35" s="37"/>
      <c r="BJ35" s="37"/>
      <c r="BK35" s="47"/>
      <c r="BL35" s="268" t="s">
        <v>657</v>
      </c>
      <c r="BM35" s="47" t="s">
        <v>109</v>
      </c>
      <c r="BN35" s="37" t="s">
        <v>110</v>
      </c>
      <c r="BO35" s="47">
        <v>2016.5</v>
      </c>
      <c r="BP35" s="58" t="s">
        <v>658</v>
      </c>
      <c r="BQ35" s="269" t="s">
        <v>659</v>
      </c>
      <c r="BR35" s="47">
        <v>2024.5</v>
      </c>
      <c r="BS35" s="47" t="s">
        <v>111</v>
      </c>
      <c r="BT35" s="47"/>
      <c r="BU35" s="206" t="s">
        <v>164</v>
      </c>
      <c r="BV35" s="47"/>
      <c r="BW35" s="47"/>
      <c r="BX35" s="200">
        <v>42470</v>
      </c>
      <c r="BY35" s="197">
        <v>1972</v>
      </c>
      <c r="BZ35" s="47">
        <v>5</v>
      </c>
      <c r="CA35" s="47">
        <v>20</v>
      </c>
    </row>
    <row r="36" s="103" customFormat="1" ht="31" customHeight="1" spans="1:79">
      <c r="A36" s="47">
        <v>35</v>
      </c>
      <c r="B36" s="47" t="s">
        <v>660</v>
      </c>
      <c r="C36" s="111" t="s">
        <v>661</v>
      </c>
      <c r="D36" s="111" t="str">
        <f t="shared" si="0"/>
        <v>男</v>
      </c>
      <c r="E36" s="47" t="s">
        <v>644</v>
      </c>
      <c r="F36" s="47" t="s">
        <v>144</v>
      </c>
      <c r="G36" s="117" t="s">
        <v>662</v>
      </c>
      <c r="H36" s="18">
        <v>43164</v>
      </c>
      <c r="I36" s="58">
        <v>13581354849</v>
      </c>
      <c r="J36" s="275" t="s">
        <v>663</v>
      </c>
      <c r="K36" s="28" t="s">
        <v>116</v>
      </c>
      <c r="L36" s="58" t="s">
        <v>664</v>
      </c>
      <c r="M36" s="47" t="s">
        <v>187</v>
      </c>
      <c r="N36" s="58" t="s">
        <v>665</v>
      </c>
      <c r="O36" s="32" t="str">
        <f t="shared" si="4"/>
        <v>1973-01-25</v>
      </c>
      <c r="P36" s="34">
        <f ca="1" t="shared" si="2"/>
        <v>53</v>
      </c>
      <c r="Q36" s="47">
        <f ca="1" t="shared" si="7"/>
        <v>8</v>
      </c>
      <c r="R36" s="28" t="s">
        <v>88</v>
      </c>
      <c r="S36" s="47" t="s">
        <v>89</v>
      </c>
      <c r="T36" s="58" t="s">
        <v>150</v>
      </c>
      <c r="U36" s="47" t="s">
        <v>91</v>
      </c>
      <c r="V36" s="47" t="s">
        <v>92</v>
      </c>
      <c r="W36" s="47"/>
      <c r="X36" s="47"/>
      <c r="Y36" s="37" t="s">
        <v>666</v>
      </c>
      <c r="Z36" s="47">
        <v>2007.2</v>
      </c>
      <c r="AA36" s="47">
        <v>2012.6</v>
      </c>
      <c r="AB36" s="47" t="s">
        <v>667</v>
      </c>
      <c r="AC36" s="47"/>
      <c r="AD36" s="47"/>
      <c r="AE36" s="47"/>
      <c r="AF36" s="111" t="s">
        <v>122</v>
      </c>
      <c r="AG36" s="37" t="s">
        <v>668</v>
      </c>
      <c r="AH36" s="58"/>
      <c r="AI36" s="47">
        <v>1987.9</v>
      </c>
      <c r="AJ36" s="47">
        <v>1990.9</v>
      </c>
      <c r="AK36" s="47" t="s">
        <v>653</v>
      </c>
      <c r="AL36" s="47" t="s">
        <v>669</v>
      </c>
      <c r="AM36" s="47"/>
      <c r="AN36" s="111" t="s">
        <v>99</v>
      </c>
      <c r="AO36" s="58" t="s">
        <v>665</v>
      </c>
      <c r="AP36" s="37" t="s">
        <v>212</v>
      </c>
      <c r="AQ36" s="47" t="s">
        <v>670</v>
      </c>
      <c r="AR36" s="47" t="s">
        <v>214</v>
      </c>
      <c r="AS36" s="47">
        <v>50</v>
      </c>
      <c r="AT36" s="47" t="s">
        <v>178</v>
      </c>
      <c r="AU36" s="47" t="s">
        <v>671</v>
      </c>
      <c r="AV36" s="47" t="s">
        <v>197</v>
      </c>
      <c r="AW36" s="58">
        <v>15972618782</v>
      </c>
      <c r="AX36" s="37" t="s">
        <v>672</v>
      </c>
      <c r="AY36" s="47">
        <v>4</v>
      </c>
      <c r="AZ36" s="50">
        <v>43255</v>
      </c>
      <c r="BA36" s="123">
        <v>45812</v>
      </c>
      <c r="BB36" s="47" t="s">
        <v>106</v>
      </c>
      <c r="BC36" s="47"/>
      <c r="BD36" s="47"/>
      <c r="BE36" s="47"/>
      <c r="BF36" s="37"/>
      <c r="BG36" s="47"/>
      <c r="BH36" s="37" t="s">
        <v>673</v>
      </c>
      <c r="BI36" s="37"/>
      <c r="BJ36" s="37"/>
      <c r="BK36" s="47"/>
      <c r="BL36" s="268" t="s">
        <v>674</v>
      </c>
      <c r="BM36" s="47" t="s">
        <v>109</v>
      </c>
      <c r="BN36" s="37" t="s">
        <v>110</v>
      </c>
      <c r="BO36" s="47">
        <v>2018.7</v>
      </c>
      <c r="BP36" s="58" t="s">
        <v>675</v>
      </c>
      <c r="BQ36" s="269" t="s">
        <v>676</v>
      </c>
      <c r="BR36" s="47">
        <v>2018.7</v>
      </c>
      <c r="BS36" s="47" t="s">
        <v>111</v>
      </c>
      <c r="BT36" s="47"/>
      <c r="BU36" s="206" t="s">
        <v>164</v>
      </c>
      <c r="BV36" s="47"/>
      <c r="BW36" s="47"/>
      <c r="BX36" s="200">
        <v>43255</v>
      </c>
      <c r="BY36" s="197">
        <v>1973</v>
      </c>
      <c r="BZ36" s="47">
        <v>1</v>
      </c>
      <c r="CA36" s="47">
        <v>25</v>
      </c>
    </row>
    <row r="37" s="103" customFormat="1" ht="31" customHeight="1" spans="1:79">
      <c r="A37" s="47">
        <v>36</v>
      </c>
      <c r="B37" s="47" t="s">
        <v>677</v>
      </c>
      <c r="C37" s="58" t="s">
        <v>678</v>
      </c>
      <c r="D37" s="111" t="str">
        <f t="shared" si="0"/>
        <v>男</v>
      </c>
      <c r="E37" s="47" t="s">
        <v>644</v>
      </c>
      <c r="F37" s="47" t="s">
        <v>144</v>
      </c>
      <c r="G37" s="116" t="s">
        <v>679</v>
      </c>
      <c r="H37" s="18">
        <v>42309</v>
      </c>
      <c r="I37" s="130">
        <v>13093208308</v>
      </c>
      <c r="J37" s="27" t="s">
        <v>680</v>
      </c>
      <c r="K37" s="28" t="s">
        <v>224</v>
      </c>
      <c r="L37" s="28" t="s">
        <v>681</v>
      </c>
      <c r="M37" s="47" t="s">
        <v>149</v>
      </c>
      <c r="N37" s="28" t="s">
        <v>681</v>
      </c>
      <c r="O37" s="32" t="str">
        <f t="shared" si="4"/>
        <v>1965-11-26</v>
      </c>
      <c r="P37" s="34">
        <f ca="1" t="shared" si="2"/>
        <v>61</v>
      </c>
      <c r="Q37" s="47">
        <f ca="1" t="shared" si="7"/>
        <v>10</v>
      </c>
      <c r="R37" s="28" t="s">
        <v>88</v>
      </c>
      <c r="S37" s="47" t="s">
        <v>89</v>
      </c>
      <c r="T37" s="28" t="s">
        <v>90</v>
      </c>
      <c r="U37" s="47" t="s">
        <v>91</v>
      </c>
      <c r="V37" s="47" t="s">
        <v>92</v>
      </c>
      <c r="W37" s="47"/>
      <c r="X37" s="47"/>
      <c r="Y37" s="37" t="s">
        <v>682</v>
      </c>
      <c r="Z37" s="47">
        <v>2013.6</v>
      </c>
      <c r="AA37" s="65">
        <v>2015.1</v>
      </c>
      <c r="AB37" s="47" t="s">
        <v>683</v>
      </c>
      <c r="AC37" s="47"/>
      <c r="AD37" s="47"/>
      <c r="AE37" s="47"/>
      <c r="AF37" s="28" t="s">
        <v>96</v>
      </c>
      <c r="AG37" s="37" t="s">
        <v>684</v>
      </c>
      <c r="AH37" s="28"/>
      <c r="AI37" s="47"/>
      <c r="AJ37" s="47"/>
      <c r="AK37" s="47"/>
      <c r="AL37" s="37" t="s">
        <v>685</v>
      </c>
      <c r="AM37" s="47"/>
      <c r="AN37" s="111" t="s">
        <v>99</v>
      </c>
      <c r="AO37" s="28" t="s">
        <v>681</v>
      </c>
      <c r="AP37" s="37" t="s">
        <v>212</v>
      </c>
      <c r="AQ37" s="47" t="s">
        <v>686</v>
      </c>
      <c r="AR37" s="47" t="s">
        <v>214</v>
      </c>
      <c r="AS37" s="47">
        <v>57</v>
      </c>
      <c r="AT37" s="47" t="s">
        <v>103</v>
      </c>
      <c r="AU37" s="47" t="s">
        <v>686</v>
      </c>
      <c r="AV37" s="47" t="s">
        <v>104</v>
      </c>
      <c r="AW37" s="28">
        <v>15572601628</v>
      </c>
      <c r="AX37" s="37" t="s">
        <v>161</v>
      </c>
      <c r="AY37" s="47">
        <v>5</v>
      </c>
      <c r="AZ37" s="50">
        <v>42309</v>
      </c>
      <c r="BA37" s="123">
        <v>45961</v>
      </c>
      <c r="BB37" s="47" t="s">
        <v>233</v>
      </c>
      <c r="BC37" s="47"/>
      <c r="BD37" s="47"/>
      <c r="BE37" s="47"/>
      <c r="BF37" s="37"/>
      <c r="BG37" s="47"/>
      <c r="BH37" s="37" t="s">
        <v>687</v>
      </c>
      <c r="BI37" s="37"/>
      <c r="BJ37" s="37"/>
      <c r="BK37" s="47"/>
      <c r="BL37" s="268" t="s">
        <v>688</v>
      </c>
      <c r="BM37" s="47" t="s">
        <v>109</v>
      </c>
      <c r="BN37" s="37" t="s">
        <v>110</v>
      </c>
      <c r="BO37" s="47">
        <v>2015.12</v>
      </c>
      <c r="BP37" s="58" t="s">
        <v>689</v>
      </c>
      <c r="BQ37" s="269" t="s">
        <v>690</v>
      </c>
      <c r="BR37" s="47">
        <v>2016.7</v>
      </c>
      <c r="BS37" s="47" t="s">
        <v>111</v>
      </c>
      <c r="BT37" s="47"/>
      <c r="BU37" s="206" t="s">
        <v>164</v>
      </c>
      <c r="BV37" s="47"/>
      <c r="BW37" s="47"/>
      <c r="BX37" s="200">
        <v>42309</v>
      </c>
      <c r="BY37" s="197">
        <v>1965</v>
      </c>
      <c r="BZ37" s="47">
        <v>11</v>
      </c>
      <c r="CA37" s="47">
        <v>26</v>
      </c>
    </row>
    <row r="38" s="103" customFormat="1" ht="31" customHeight="1" spans="1:79">
      <c r="A38" s="47">
        <v>37</v>
      </c>
      <c r="B38" s="47" t="s">
        <v>691</v>
      </c>
      <c r="C38" s="111" t="s">
        <v>692</v>
      </c>
      <c r="D38" s="111" t="str">
        <f t="shared" si="0"/>
        <v>男</v>
      </c>
      <c r="E38" s="47" t="s">
        <v>644</v>
      </c>
      <c r="F38" s="47" t="s">
        <v>144</v>
      </c>
      <c r="G38" s="117" t="s">
        <v>693</v>
      </c>
      <c r="H38" s="122">
        <v>44264</v>
      </c>
      <c r="I38" s="111">
        <v>13774052042</v>
      </c>
      <c r="J38" s="265" t="s">
        <v>694</v>
      </c>
      <c r="K38" s="111" t="s">
        <v>339</v>
      </c>
      <c r="L38" s="58" t="s">
        <v>695</v>
      </c>
      <c r="M38" s="47" t="s">
        <v>149</v>
      </c>
      <c r="N38" s="58" t="s">
        <v>696</v>
      </c>
      <c r="O38" s="32" t="str">
        <f t="shared" si="4"/>
        <v>1981-04-07</v>
      </c>
      <c r="P38" s="34">
        <f ca="1" t="shared" si="2"/>
        <v>45</v>
      </c>
      <c r="Q38" s="47">
        <f ca="1" t="shared" si="7"/>
        <v>5</v>
      </c>
      <c r="R38" s="28" t="s">
        <v>88</v>
      </c>
      <c r="S38" s="47" t="s">
        <v>89</v>
      </c>
      <c r="T38" s="28" t="s">
        <v>90</v>
      </c>
      <c r="U38" s="47" t="s">
        <v>91</v>
      </c>
      <c r="V38" s="47" t="s">
        <v>92</v>
      </c>
      <c r="W38" s="47"/>
      <c r="X38" s="47"/>
      <c r="Y38" s="37" t="s">
        <v>697</v>
      </c>
      <c r="Z38" s="47">
        <v>2017.12</v>
      </c>
      <c r="AA38" s="47">
        <v>2020.12</v>
      </c>
      <c r="AB38" s="37" t="s">
        <v>698</v>
      </c>
      <c r="AC38" s="47"/>
      <c r="AD38" s="47" t="s">
        <v>699</v>
      </c>
      <c r="AE38" s="47">
        <v>13986983852</v>
      </c>
      <c r="AF38" s="111" t="s">
        <v>96</v>
      </c>
      <c r="AG38" s="37" t="s">
        <v>700</v>
      </c>
      <c r="AH38" s="111"/>
      <c r="AI38" s="47">
        <v>1997.9</v>
      </c>
      <c r="AJ38" s="47">
        <v>1999.7</v>
      </c>
      <c r="AK38" s="47"/>
      <c r="AL38" s="47" t="s">
        <v>701</v>
      </c>
      <c r="AM38" s="47"/>
      <c r="AN38" s="111" t="s">
        <v>99</v>
      </c>
      <c r="AO38" s="58" t="s">
        <v>696</v>
      </c>
      <c r="AP38" s="37" t="s">
        <v>212</v>
      </c>
      <c r="AQ38" s="47" t="s">
        <v>702</v>
      </c>
      <c r="AR38" s="47" t="s">
        <v>214</v>
      </c>
      <c r="AS38" s="47">
        <v>41</v>
      </c>
      <c r="AT38" s="47" t="s">
        <v>178</v>
      </c>
      <c r="AU38" s="47" t="s">
        <v>702</v>
      </c>
      <c r="AV38" s="47" t="s">
        <v>104</v>
      </c>
      <c r="AW38" s="111">
        <v>13872920980</v>
      </c>
      <c r="AX38" s="37" t="s">
        <v>703</v>
      </c>
      <c r="AY38" s="47">
        <v>3</v>
      </c>
      <c r="AZ38" s="122">
        <v>44317</v>
      </c>
      <c r="BA38" s="123">
        <v>45724</v>
      </c>
      <c r="BB38" s="47" t="s">
        <v>106</v>
      </c>
      <c r="BC38" s="47"/>
      <c r="BD38" s="47"/>
      <c r="BE38" s="47"/>
      <c r="BF38" s="37"/>
      <c r="BG38" s="47"/>
      <c r="BH38" s="37" t="s">
        <v>704</v>
      </c>
      <c r="BI38" s="37"/>
      <c r="BJ38" s="37"/>
      <c r="BK38" s="47"/>
      <c r="BL38" s="268" t="s">
        <v>705</v>
      </c>
      <c r="BM38" s="47" t="s">
        <v>109</v>
      </c>
      <c r="BN38" s="37" t="s">
        <v>110</v>
      </c>
      <c r="BO38" s="47">
        <v>2021.8</v>
      </c>
      <c r="BP38" s="58" t="s">
        <v>706</v>
      </c>
      <c r="BQ38" s="269" t="s">
        <v>707</v>
      </c>
      <c r="BR38" s="47">
        <v>2021.8</v>
      </c>
      <c r="BS38" s="47" t="s">
        <v>111</v>
      </c>
      <c r="BT38" s="47">
        <v>523</v>
      </c>
      <c r="BU38" s="206" t="s">
        <v>164</v>
      </c>
      <c r="BV38" s="47"/>
      <c r="BW38" s="47"/>
      <c r="BX38" s="207">
        <v>44317</v>
      </c>
      <c r="BY38" s="197">
        <v>1981</v>
      </c>
      <c r="BZ38" s="47">
        <v>4</v>
      </c>
      <c r="CA38" s="47">
        <v>7</v>
      </c>
    </row>
    <row r="39" s="103" customFormat="1" ht="31" customHeight="1" spans="1:79">
      <c r="A39" s="47">
        <v>38</v>
      </c>
      <c r="B39" s="47" t="s">
        <v>708</v>
      </c>
      <c r="C39" s="111" t="s">
        <v>709</v>
      </c>
      <c r="D39" s="111" t="str">
        <f t="shared" si="0"/>
        <v>男</v>
      </c>
      <c r="E39" s="47" t="s">
        <v>644</v>
      </c>
      <c r="F39" s="47" t="s">
        <v>144</v>
      </c>
      <c r="G39" s="58" t="s">
        <v>710</v>
      </c>
      <c r="H39" s="122">
        <v>44330</v>
      </c>
      <c r="I39" s="111">
        <v>13177179510</v>
      </c>
      <c r="J39" s="265" t="s">
        <v>711</v>
      </c>
      <c r="K39" s="111" t="s">
        <v>116</v>
      </c>
      <c r="L39" s="58" t="s">
        <v>712</v>
      </c>
      <c r="M39" s="47" t="s">
        <v>149</v>
      </c>
      <c r="N39" s="58" t="s">
        <v>713</v>
      </c>
      <c r="O39" s="32" t="str">
        <f t="shared" si="4"/>
        <v>1970-04-28</v>
      </c>
      <c r="P39" s="34">
        <f ca="1" t="shared" si="2"/>
        <v>56</v>
      </c>
      <c r="Q39" s="47">
        <f ca="1" t="shared" si="7"/>
        <v>5</v>
      </c>
      <c r="R39" s="28" t="s">
        <v>88</v>
      </c>
      <c r="S39" s="47" t="s">
        <v>89</v>
      </c>
      <c r="T39" s="111" t="s">
        <v>90</v>
      </c>
      <c r="U39" s="47" t="s">
        <v>91</v>
      </c>
      <c r="V39" s="47" t="s">
        <v>92</v>
      </c>
      <c r="W39" s="47"/>
      <c r="X39" s="47"/>
      <c r="Y39" s="37" t="s">
        <v>714</v>
      </c>
      <c r="Z39" s="47">
        <v>2015</v>
      </c>
      <c r="AA39" s="47">
        <v>2021.4</v>
      </c>
      <c r="AB39" s="47" t="s">
        <v>710</v>
      </c>
      <c r="AC39" s="47"/>
      <c r="AD39" s="47"/>
      <c r="AE39" s="47"/>
      <c r="AF39" s="111" t="s">
        <v>122</v>
      </c>
      <c r="AG39" s="37"/>
      <c r="AH39" s="111"/>
      <c r="AI39" s="47"/>
      <c r="AJ39" s="47"/>
      <c r="AK39" s="47"/>
      <c r="AL39" s="47" t="s">
        <v>715</v>
      </c>
      <c r="AM39" s="47"/>
      <c r="AN39" s="111" t="s">
        <v>99</v>
      </c>
      <c r="AO39" s="58" t="s">
        <v>713</v>
      </c>
      <c r="AP39" s="37" t="s">
        <v>212</v>
      </c>
      <c r="AQ39" s="47" t="s">
        <v>716</v>
      </c>
      <c r="AR39" s="47" t="s">
        <v>214</v>
      </c>
      <c r="AS39" s="47">
        <v>52</v>
      </c>
      <c r="AT39" s="47" t="s">
        <v>215</v>
      </c>
      <c r="AU39" s="47" t="s">
        <v>716</v>
      </c>
      <c r="AV39" s="47" t="s">
        <v>104</v>
      </c>
      <c r="AW39" s="111">
        <v>15629741588</v>
      </c>
      <c r="AX39" s="37" t="s">
        <v>717</v>
      </c>
      <c r="AY39" s="47">
        <v>3</v>
      </c>
      <c r="AZ39" s="122">
        <v>44330</v>
      </c>
      <c r="BA39" s="123">
        <v>45790</v>
      </c>
      <c r="BB39" s="47" t="s">
        <v>106</v>
      </c>
      <c r="BC39" s="47"/>
      <c r="BD39" s="47"/>
      <c r="BE39" s="47"/>
      <c r="BF39" s="37"/>
      <c r="BG39" s="47"/>
      <c r="BH39" s="37" t="s">
        <v>718</v>
      </c>
      <c r="BI39" s="37"/>
      <c r="BJ39" s="37"/>
      <c r="BK39" s="47"/>
      <c r="BL39" s="268" t="s">
        <v>719</v>
      </c>
      <c r="BM39" s="47" t="s">
        <v>109</v>
      </c>
      <c r="BN39" s="37" t="s">
        <v>110</v>
      </c>
      <c r="BO39" s="47">
        <v>2022.7</v>
      </c>
      <c r="BP39" s="58" t="s">
        <v>720</v>
      </c>
      <c r="BQ39" s="37" t="s">
        <v>721</v>
      </c>
      <c r="BR39" s="47">
        <v>2022.7</v>
      </c>
      <c r="BS39" s="47" t="s">
        <v>111</v>
      </c>
      <c r="BT39" s="47"/>
      <c r="BU39" s="206" t="s">
        <v>164</v>
      </c>
      <c r="BV39" s="47"/>
      <c r="BW39" s="47"/>
      <c r="BX39" s="207">
        <v>44330</v>
      </c>
      <c r="BY39" s="197">
        <v>1970</v>
      </c>
      <c r="BZ39" s="248">
        <v>4</v>
      </c>
      <c r="CA39" s="248">
        <v>28</v>
      </c>
    </row>
    <row r="40" s="103" customFormat="1" ht="31" customHeight="1" spans="1:79">
      <c r="A40" s="47">
        <v>39</v>
      </c>
      <c r="B40" s="47" t="s">
        <v>722</v>
      </c>
      <c r="C40" s="58" t="s">
        <v>723</v>
      </c>
      <c r="D40" s="111" t="str">
        <f t="shared" si="0"/>
        <v>男</v>
      </c>
      <c r="E40" s="47" t="s">
        <v>644</v>
      </c>
      <c r="F40" s="47" t="s">
        <v>144</v>
      </c>
      <c r="G40" s="58" t="s">
        <v>662</v>
      </c>
      <c r="H40" s="122">
        <v>44453</v>
      </c>
      <c r="I40" s="139" t="s">
        <v>724</v>
      </c>
      <c r="J40" s="265" t="s">
        <v>725</v>
      </c>
      <c r="K40" s="138" t="s">
        <v>116</v>
      </c>
      <c r="L40" s="58" t="s">
        <v>726</v>
      </c>
      <c r="M40" s="47" t="s">
        <v>149</v>
      </c>
      <c r="N40" s="58" t="s">
        <v>727</v>
      </c>
      <c r="O40" s="32" t="str">
        <f t="shared" si="4"/>
        <v>1971-12-10</v>
      </c>
      <c r="P40" s="34">
        <f ca="1" t="shared" si="2"/>
        <v>55</v>
      </c>
      <c r="Q40" s="47">
        <f ca="1" t="shared" si="7"/>
        <v>4</v>
      </c>
      <c r="R40" s="28" t="s">
        <v>88</v>
      </c>
      <c r="S40" s="47" t="s">
        <v>89</v>
      </c>
      <c r="T40" s="111" t="s">
        <v>90</v>
      </c>
      <c r="U40" s="47" t="s">
        <v>91</v>
      </c>
      <c r="V40" s="47" t="s">
        <v>92</v>
      </c>
      <c r="W40" s="47"/>
      <c r="X40" s="47"/>
      <c r="Y40" s="37" t="s">
        <v>728</v>
      </c>
      <c r="Z40" s="47">
        <v>2014.11</v>
      </c>
      <c r="AA40" s="47">
        <v>2021.5</v>
      </c>
      <c r="AB40" s="47" t="s">
        <v>729</v>
      </c>
      <c r="AC40" s="47"/>
      <c r="AD40" s="47"/>
      <c r="AE40" s="47"/>
      <c r="AF40" s="111" t="s">
        <v>96</v>
      </c>
      <c r="AG40" s="37" t="s">
        <v>97</v>
      </c>
      <c r="AH40" s="111"/>
      <c r="AI40" s="47">
        <v>1987.9</v>
      </c>
      <c r="AJ40" s="47">
        <v>1990.7</v>
      </c>
      <c r="AK40" s="47"/>
      <c r="AL40" s="47"/>
      <c r="AM40" s="47"/>
      <c r="AN40" s="111" t="s">
        <v>99</v>
      </c>
      <c r="AO40" s="58" t="s">
        <v>727</v>
      </c>
      <c r="AP40" s="37" t="s">
        <v>212</v>
      </c>
      <c r="AQ40" s="47" t="s">
        <v>730</v>
      </c>
      <c r="AR40" s="47" t="s">
        <v>214</v>
      </c>
      <c r="AS40" s="47">
        <v>52</v>
      </c>
      <c r="AT40" s="47" t="s">
        <v>159</v>
      </c>
      <c r="AU40" s="47" t="s">
        <v>730</v>
      </c>
      <c r="AV40" s="47" t="s">
        <v>104</v>
      </c>
      <c r="AW40" s="111">
        <v>15872953560</v>
      </c>
      <c r="AX40" s="37" t="s">
        <v>287</v>
      </c>
      <c r="AY40" s="47">
        <v>3</v>
      </c>
      <c r="AZ40" s="122">
        <v>44562</v>
      </c>
      <c r="BA40" s="123">
        <v>46022</v>
      </c>
      <c r="BB40" s="47" t="s">
        <v>106</v>
      </c>
      <c r="BC40" s="47"/>
      <c r="BD40" s="47"/>
      <c r="BE40" s="47"/>
      <c r="BF40" s="37"/>
      <c r="BG40" s="47"/>
      <c r="BH40" s="37" t="s">
        <v>731</v>
      </c>
      <c r="BI40" s="37"/>
      <c r="BJ40" s="37"/>
      <c r="BK40" s="47"/>
      <c r="BL40" s="85" t="s">
        <v>732</v>
      </c>
      <c r="BM40" s="47" t="s">
        <v>109</v>
      </c>
      <c r="BN40" s="37" t="s">
        <v>110</v>
      </c>
      <c r="BO40" s="47">
        <v>2022.1</v>
      </c>
      <c r="BP40" s="58"/>
      <c r="BQ40" s="37"/>
      <c r="BR40" s="47">
        <v>2022.1</v>
      </c>
      <c r="BS40" s="47" t="s">
        <v>111</v>
      </c>
      <c r="BT40" s="47"/>
      <c r="BU40" s="206" t="s">
        <v>164</v>
      </c>
      <c r="BV40" s="47"/>
      <c r="BW40" s="47"/>
      <c r="BX40" s="207">
        <v>44562</v>
      </c>
      <c r="BY40" s="197">
        <v>1971</v>
      </c>
      <c r="BZ40" s="47">
        <v>12</v>
      </c>
      <c r="CA40" s="47">
        <v>10</v>
      </c>
    </row>
    <row r="41" s="103" customFormat="1" ht="36" customHeight="1" spans="1:79">
      <c r="A41" s="47">
        <v>40</v>
      </c>
      <c r="B41" s="47" t="s">
        <v>733</v>
      </c>
      <c r="C41" s="58" t="s">
        <v>734</v>
      </c>
      <c r="D41" s="111" t="str">
        <f t="shared" si="0"/>
        <v>男</v>
      </c>
      <c r="E41" s="47" t="s">
        <v>644</v>
      </c>
      <c r="F41" s="47" t="s">
        <v>144</v>
      </c>
      <c r="G41" s="58" t="s">
        <v>662</v>
      </c>
      <c r="H41" s="122">
        <v>44503</v>
      </c>
      <c r="I41" s="111">
        <v>15871987067</v>
      </c>
      <c r="J41" s="111" t="s">
        <v>735</v>
      </c>
      <c r="K41" s="28" t="s">
        <v>205</v>
      </c>
      <c r="L41" s="58" t="s">
        <v>736</v>
      </c>
      <c r="M41" s="47" t="s">
        <v>187</v>
      </c>
      <c r="N41" s="58" t="s">
        <v>737</v>
      </c>
      <c r="O41" s="32" t="str">
        <f t="shared" si="4"/>
        <v>1971-12-30</v>
      </c>
      <c r="P41" s="34">
        <f ca="1" t="shared" si="2"/>
        <v>55</v>
      </c>
      <c r="Q41" s="47">
        <f ca="1" t="shared" si="7"/>
        <v>4</v>
      </c>
      <c r="R41" s="28" t="s">
        <v>88</v>
      </c>
      <c r="S41" s="47" t="s">
        <v>89</v>
      </c>
      <c r="T41" s="111" t="s">
        <v>90</v>
      </c>
      <c r="U41" s="47" t="s">
        <v>91</v>
      </c>
      <c r="V41" s="47" t="s">
        <v>92</v>
      </c>
      <c r="W41" s="47"/>
      <c r="X41" s="47"/>
      <c r="Y41" s="37" t="s">
        <v>728</v>
      </c>
      <c r="Z41" s="47">
        <v>2014.9</v>
      </c>
      <c r="AA41" s="65">
        <v>2021.1</v>
      </c>
      <c r="AB41" s="47" t="s">
        <v>729</v>
      </c>
      <c r="AC41" s="47"/>
      <c r="AD41" s="47"/>
      <c r="AE41" s="47"/>
      <c r="AF41" s="111" t="s">
        <v>208</v>
      </c>
      <c r="AG41" s="37" t="s">
        <v>738</v>
      </c>
      <c r="AH41" s="111" t="s">
        <v>739</v>
      </c>
      <c r="AI41" s="47">
        <v>1992.9</v>
      </c>
      <c r="AJ41" s="47">
        <v>1995.7</v>
      </c>
      <c r="AK41" s="47" t="s">
        <v>653</v>
      </c>
      <c r="AL41" s="219" t="s">
        <v>740</v>
      </c>
      <c r="AM41" s="47"/>
      <c r="AN41" s="111" t="s">
        <v>99</v>
      </c>
      <c r="AO41" s="58" t="s">
        <v>737</v>
      </c>
      <c r="AP41" s="37" t="s">
        <v>212</v>
      </c>
      <c r="AQ41" s="47" t="s">
        <v>741</v>
      </c>
      <c r="AR41" s="47" t="s">
        <v>214</v>
      </c>
      <c r="AS41" s="47">
        <v>52</v>
      </c>
      <c r="AT41" s="47" t="s">
        <v>445</v>
      </c>
      <c r="AU41" s="47" t="s">
        <v>741</v>
      </c>
      <c r="AV41" s="47" t="s">
        <v>104</v>
      </c>
      <c r="AW41" s="111">
        <v>15871985387</v>
      </c>
      <c r="AX41" s="37" t="s">
        <v>742</v>
      </c>
      <c r="AY41" s="47">
        <v>4</v>
      </c>
      <c r="AZ41" s="122">
        <v>44593</v>
      </c>
      <c r="BA41" s="123">
        <v>46053</v>
      </c>
      <c r="BB41" s="47" t="s">
        <v>106</v>
      </c>
      <c r="BC41" s="47"/>
      <c r="BD41" s="47"/>
      <c r="BE41" s="47"/>
      <c r="BF41" s="37"/>
      <c r="BG41" s="47"/>
      <c r="BH41" s="37" t="s">
        <v>743</v>
      </c>
      <c r="BI41" s="37"/>
      <c r="BJ41" s="37"/>
      <c r="BK41" s="47"/>
      <c r="BL41" s="268" t="s">
        <v>744</v>
      </c>
      <c r="BM41" s="47" t="s">
        <v>109</v>
      </c>
      <c r="BN41" s="37" t="s">
        <v>110</v>
      </c>
      <c r="BO41" s="47">
        <v>2022.2</v>
      </c>
      <c r="BP41" s="58"/>
      <c r="BQ41" s="37"/>
      <c r="BR41" s="47">
        <v>2022.2</v>
      </c>
      <c r="BS41" s="47" t="s">
        <v>111</v>
      </c>
      <c r="BT41" s="47"/>
      <c r="BU41" s="206" t="s">
        <v>164</v>
      </c>
      <c r="BV41" s="47"/>
      <c r="BW41" s="47"/>
      <c r="BX41" s="207">
        <v>44593</v>
      </c>
      <c r="BY41" s="197">
        <v>1971</v>
      </c>
      <c r="BZ41" s="47">
        <v>12</v>
      </c>
      <c r="CA41" s="47">
        <v>30</v>
      </c>
    </row>
    <row r="42" s="103" customFormat="1" ht="31" customHeight="1" spans="1:79">
      <c r="A42" s="47">
        <v>41</v>
      </c>
      <c r="B42" s="47" t="s">
        <v>745</v>
      </c>
      <c r="C42" s="47" t="s">
        <v>746</v>
      </c>
      <c r="D42" s="111" t="str">
        <f t="shared" si="0"/>
        <v>男</v>
      </c>
      <c r="E42" s="47" t="s">
        <v>644</v>
      </c>
      <c r="F42" s="47" t="s">
        <v>144</v>
      </c>
      <c r="G42" s="58" t="s">
        <v>662</v>
      </c>
      <c r="H42" s="123">
        <v>44796</v>
      </c>
      <c r="I42" s="47">
        <v>19359824003</v>
      </c>
      <c r="J42" s="270" t="s">
        <v>747</v>
      </c>
      <c r="K42" s="138" t="s">
        <v>258</v>
      </c>
      <c r="L42" s="37" t="s">
        <v>748</v>
      </c>
      <c r="M42" s="47" t="s">
        <v>187</v>
      </c>
      <c r="N42" s="37" t="s">
        <v>144</v>
      </c>
      <c r="O42" s="32" t="str">
        <f t="shared" si="4"/>
        <v>1977-12-11</v>
      </c>
      <c r="P42" s="34">
        <f ca="1" t="shared" si="2"/>
        <v>49</v>
      </c>
      <c r="Q42" s="47">
        <f ca="1" t="shared" si="7"/>
        <v>3</v>
      </c>
      <c r="R42" s="28" t="s">
        <v>88</v>
      </c>
      <c r="S42" s="47" t="s">
        <v>89</v>
      </c>
      <c r="T42" s="111" t="s">
        <v>90</v>
      </c>
      <c r="U42" s="47" t="s">
        <v>91</v>
      </c>
      <c r="V42" s="47" t="s">
        <v>92</v>
      </c>
      <c r="W42" s="47"/>
      <c r="X42" s="47"/>
      <c r="Y42" s="47" t="s">
        <v>749</v>
      </c>
      <c r="Z42" s="47">
        <v>2020.8</v>
      </c>
      <c r="AA42" s="47">
        <v>2022.7</v>
      </c>
      <c r="AB42" s="47" t="s">
        <v>750</v>
      </c>
      <c r="AC42" s="47"/>
      <c r="AD42" s="47" t="s">
        <v>751</v>
      </c>
      <c r="AE42" s="47">
        <v>15080993118</v>
      </c>
      <c r="AF42" s="111" t="s">
        <v>96</v>
      </c>
      <c r="AG42" s="37" t="s">
        <v>752</v>
      </c>
      <c r="AH42" s="47"/>
      <c r="AI42" s="47">
        <v>1987.12</v>
      </c>
      <c r="AJ42" s="47">
        <v>1992.12</v>
      </c>
      <c r="AK42" s="47"/>
      <c r="AL42" s="47"/>
      <c r="AM42" s="47"/>
      <c r="AN42" s="111" t="s">
        <v>99</v>
      </c>
      <c r="AO42" s="37" t="s">
        <v>748</v>
      </c>
      <c r="AP42" s="37" t="s">
        <v>100</v>
      </c>
      <c r="AQ42" s="47" t="s">
        <v>753</v>
      </c>
      <c r="AR42" s="47" t="s">
        <v>102</v>
      </c>
      <c r="AS42" s="47">
        <v>73</v>
      </c>
      <c r="AT42" s="47" t="s">
        <v>159</v>
      </c>
      <c r="AU42" s="47" t="s">
        <v>754</v>
      </c>
      <c r="AV42" s="47" t="s">
        <v>755</v>
      </c>
      <c r="AW42" s="47">
        <v>13100202101</v>
      </c>
      <c r="AX42" s="37" t="s">
        <v>756</v>
      </c>
      <c r="AY42" s="47">
        <v>1</v>
      </c>
      <c r="AZ42" s="123">
        <v>44896</v>
      </c>
      <c r="BA42" s="123">
        <v>45991</v>
      </c>
      <c r="BB42" s="47" t="s">
        <v>106</v>
      </c>
      <c r="BC42" s="47"/>
      <c r="BD42" s="47"/>
      <c r="BE42" s="47"/>
      <c r="BF42" s="37"/>
      <c r="BG42" s="47"/>
      <c r="BH42" s="37"/>
      <c r="BI42" s="37"/>
      <c r="BJ42" s="63" t="s">
        <v>757</v>
      </c>
      <c r="BK42" s="47" t="s">
        <v>758</v>
      </c>
      <c r="BL42" s="268" t="s">
        <v>759</v>
      </c>
      <c r="BM42" s="47" t="s">
        <v>109</v>
      </c>
      <c r="BN42" s="37" t="s">
        <v>110</v>
      </c>
      <c r="BO42" s="47">
        <v>2022.12</v>
      </c>
      <c r="BP42" s="58"/>
      <c r="BQ42" s="269" t="s">
        <v>760</v>
      </c>
      <c r="BR42" s="47">
        <v>2022.12</v>
      </c>
      <c r="BS42" s="47" t="s">
        <v>111</v>
      </c>
      <c r="BT42" s="47">
        <v>511</v>
      </c>
      <c r="BU42" s="206" t="s">
        <v>594</v>
      </c>
      <c r="BV42" s="47"/>
      <c r="BW42" s="47"/>
      <c r="BX42" s="180">
        <v>44896</v>
      </c>
      <c r="BY42" s="197">
        <v>1977</v>
      </c>
      <c r="BZ42" s="47">
        <v>12</v>
      </c>
      <c r="CA42" s="47">
        <v>11</v>
      </c>
    </row>
    <row r="43" s="103" customFormat="1" ht="24" customHeight="1" spans="1:79">
      <c r="A43" s="47">
        <v>42</v>
      </c>
      <c r="B43" s="111" t="s">
        <v>761</v>
      </c>
      <c r="C43" s="47" t="s">
        <v>762</v>
      </c>
      <c r="D43" s="111" t="str">
        <f t="shared" si="0"/>
        <v>男</v>
      </c>
      <c r="E43" s="47" t="s">
        <v>644</v>
      </c>
      <c r="F43" s="47" t="s">
        <v>144</v>
      </c>
      <c r="G43" s="124" t="s">
        <v>693</v>
      </c>
      <c r="H43" s="123">
        <v>45236</v>
      </c>
      <c r="I43" s="47">
        <v>13197131292</v>
      </c>
      <c r="J43" s="63" t="s">
        <v>763</v>
      </c>
      <c r="K43" s="47" t="s">
        <v>764</v>
      </c>
      <c r="L43" s="37" t="s">
        <v>765</v>
      </c>
      <c r="M43" s="47" t="s">
        <v>282</v>
      </c>
      <c r="N43" s="58" t="s">
        <v>766</v>
      </c>
      <c r="O43" s="32" t="str">
        <f t="shared" si="4"/>
        <v>1978-01-15</v>
      </c>
      <c r="P43" s="34">
        <f ca="1" t="shared" si="2"/>
        <v>48</v>
      </c>
      <c r="Q43" s="47">
        <f ca="1" t="shared" si="7"/>
        <v>2</v>
      </c>
      <c r="R43" s="28" t="s">
        <v>88</v>
      </c>
      <c r="S43" s="47" t="s">
        <v>89</v>
      </c>
      <c r="T43" s="111" t="s">
        <v>90</v>
      </c>
      <c r="U43" s="47" t="s">
        <v>91</v>
      </c>
      <c r="V43" s="47" t="s">
        <v>92</v>
      </c>
      <c r="W43" s="47"/>
      <c r="X43" s="47"/>
      <c r="Y43" s="37" t="s">
        <v>767</v>
      </c>
      <c r="Z43" s="47">
        <v>1999</v>
      </c>
      <c r="AA43" s="47">
        <v>2022</v>
      </c>
      <c r="AB43" s="47" t="s">
        <v>693</v>
      </c>
      <c r="AC43" s="47"/>
      <c r="AD43" s="47" t="s">
        <v>768</v>
      </c>
      <c r="AE43" s="47">
        <v>13277642192</v>
      </c>
      <c r="AF43" s="47" t="s">
        <v>208</v>
      </c>
      <c r="AG43" s="37" t="s">
        <v>769</v>
      </c>
      <c r="AH43" s="47" t="s">
        <v>362</v>
      </c>
      <c r="AI43" s="47">
        <v>1994.9</v>
      </c>
      <c r="AJ43" s="47">
        <v>1997.6</v>
      </c>
      <c r="AK43" s="47"/>
      <c r="AL43" s="47" t="s">
        <v>770</v>
      </c>
      <c r="AM43" s="47"/>
      <c r="AN43" s="111" t="s">
        <v>99</v>
      </c>
      <c r="AO43" s="58" t="s">
        <v>771</v>
      </c>
      <c r="AP43" s="47" t="s">
        <v>393</v>
      </c>
      <c r="AQ43" s="47" t="s">
        <v>772</v>
      </c>
      <c r="AR43" s="47" t="s">
        <v>102</v>
      </c>
      <c r="AS43" s="47">
        <v>19</v>
      </c>
      <c r="AT43" s="47"/>
      <c r="AU43" s="47" t="s">
        <v>773</v>
      </c>
      <c r="AV43" s="47" t="s">
        <v>104</v>
      </c>
      <c r="AW43" s="47">
        <v>13597986175</v>
      </c>
      <c r="AX43" s="37" t="s">
        <v>742</v>
      </c>
      <c r="AY43" s="47">
        <v>2</v>
      </c>
      <c r="AZ43" s="180">
        <v>45236</v>
      </c>
      <c r="BA43" s="123">
        <v>46053</v>
      </c>
      <c r="BB43" s="47" t="s">
        <v>106</v>
      </c>
      <c r="BC43" s="47"/>
      <c r="BD43" s="47"/>
      <c r="BE43" s="47"/>
      <c r="BF43" s="47"/>
      <c r="BG43" s="47"/>
      <c r="BH43" s="37"/>
      <c r="BI43" s="47"/>
      <c r="BJ43" s="47"/>
      <c r="BK43" s="47"/>
      <c r="BL43" s="273" t="s">
        <v>774</v>
      </c>
      <c r="BM43" s="47" t="s">
        <v>109</v>
      </c>
      <c r="BN43" s="37" t="s">
        <v>110</v>
      </c>
      <c r="BO43" s="47">
        <v>2024.2</v>
      </c>
      <c r="BP43" s="47"/>
      <c r="BQ43" s="47"/>
      <c r="BR43" s="47">
        <v>2024.2</v>
      </c>
      <c r="BS43" s="47" t="s">
        <v>111</v>
      </c>
      <c r="BT43" s="47"/>
      <c r="BU43" s="206" t="s">
        <v>775</v>
      </c>
      <c r="BV43" s="47"/>
      <c r="BW43" s="47"/>
      <c r="BX43" s="180">
        <v>45323</v>
      </c>
      <c r="BY43" s="197">
        <v>1978</v>
      </c>
      <c r="BZ43" s="47">
        <v>1</v>
      </c>
      <c r="CA43" s="47">
        <v>15</v>
      </c>
    </row>
    <row r="44" s="103" customFormat="1" ht="31" customHeight="1" spans="1:79">
      <c r="A44" s="47">
        <v>43</v>
      </c>
      <c r="B44" s="47" t="s">
        <v>776</v>
      </c>
      <c r="C44" s="111" t="s">
        <v>777</v>
      </c>
      <c r="D44" s="111" t="str">
        <f t="shared" si="0"/>
        <v>男</v>
      </c>
      <c r="E44" s="47" t="s">
        <v>81</v>
      </c>
      <c r="F44" s="47" t="s">
        <v>144</v>
      </c>
      <c r="G44" s="117" t="s">
        <v>778</v>
      </c>
      <c r="H44" s="18">
        <v>43922</v>
      </c>
      <c r="I44" s="111">
        <v>17855591722</v>
      </c>
      <c r="J44" s="27" t="s">
        <v>779</v>
      </c>
      <c r="K44" s="28" t="s">
        <v>780</v>
      </c>
      <c r="L44" s="28" t="s">
        <v>781</v>
      </c>
      <c r="M44" s="47" t="s">
        <v>149</v>
      </c>
      <c r="N44" s="37" t="s">
        <v>144</v>
      </c>
      <c r="O44" s="32" t="str">
        <f t="shared" si="4"/>
        <v>1996-01-17</v>
      </c>
      <c r="P44" s="34">
        <f ca="1" t="shared" si="2"/>
        <v>30</v>
      </c>
      <c r="Q44" s="47">
        <f ca="1" t="shared" si="7"/>
        <v>6</v>
      </c>
      <c r="R44" s="28" t="s">
        <v>88</v>
      </c>
      <c r="S44" s="47" t="s">
        <v>89</v>
      </c>
      <c r="T44" s="28" t="s">
        <v>90</v>
      </c>
      <c r="U44" s="47" t="s">
        <v>91</v>
      </c>
      <c r="V44" s="47" t="s">
        <v>92</v>
      </c>
      <c r="W44" s="47" t="s">
        <v>151</v>
      </c>
      <c r="X44" s="47"/>
      <c r="Y44" s="37" t="s">
        <v>782</v>
      </c>
      <c r="Z44" s="47">
        <v>2018.3</v>
      </c>
      <c r="AA44" s="47">
        <v>2018.7</v>
      </c>
      <c r="AB44" s="47" t="s">
        <v>783</v>
      </c>
      <c r="AC44" s="47"/>
      <c r="AD44" s="47"/>
      <c r="AE44" s="47"/>
      <c r="AF44" s="28" t="s">
        <v>96</v>
      </c>
      <c r="AG44" s="37" t="s">
        <v>784</v>
      </c>
      <c r="AH44" s="28"/>
      <c r="AI44" s="47"/>
      <c r="AJ44" s="47"/>
      <c r="AK44" s="47"/>
      <c r="AL44" s="47"/>
      <c r="AM44" s="47"/>
      <c r="AN44" s="111" t="s">
        <v>194</v>
      </c>
      <c r="AO44" s="37" t="s">
        <v>781</v>
      </c>
      <c r="AP44" s="37"/>
      <c r="AQ44" s="47"/>
      <c r="AR44" s="47"/>
      <c r="AS44" s="47"/>
      <c r="AT44" s="47"/>
      <c r="AU44" s="47" t="s">
        <v>785</v>
      </c>
      <c r="AV44" s="47" t="s">
        <v>427</v>
      </c>
      <c r="AW44" s="28">
        <v>15875231229</v>
      </c>
      <c r="AX44" s="37" t="s">
        <v>604</v>
      </c>
      <c r="AY44" s="47">
        <v>4</v>
      </c>
      <c r="AZ44" s="50">
        <v>44013</v>
      </c>
      <c r="BA44" s="123">
        <v>45807</v>
      </c>
      <c r="BB44" s="47" t="s">
        <v>106</v>
      </c>
      <c r="BC44" s="47"/>
      <c r="BD44" s="47"/>
      <c r="BE44" s="123">
        <v>45412</v>
      </c>
      <c r="BF44" s="37" t="s">
        <v>786</v>
      </c>
      <c r="BG44" s="47"/>
      <c r="BH44" s="37" t="s">
        <v>787</v>
      </c>
      <c r="BI44" s="37"/>
      <c r="BJ44" s="37"/>
      <c r="BK44" s="47"/>
      <c r="BL44" s="268" t="s">
        <v>788</v>
      </c>
      <c r="BM44" s="47" t="s">
        <v>109</v>
      </c>
      <c r="BN44" s="37" t="s">
        <v>110</v>
      </c>
      <c r="BO44" s="47">
        <v>2020.5</v>
      </c>
      <c r="BP44" s="58" t="s">
        <v>789</v>
      </c>
      <c r="BQ44" s="269" t="s">
        <v>790</v>
      </c>
      <c r="BR44" s="47">
        <v>2020.5</v>
      </c>
      <c r="BS44" s="47" t="s">
        <v>111</v>
      </c>
      <c r="BT44" s="47">
        <v>521</v>
      </c>
      <c r="BU44" s="206" t="s">
        <v>164</v>
      </c>
      <c r="BV44" s="47"/>
      <c r="BW44" s="47"/>
      <c r="BX44" s="200">
        <v>44013</v>
      </c>
      <c r="BY44" s="197">
        <v>1996</v>
      </c>
      <c r="BZ44" s="47">
        <v>1</v>
      </c>
      <c r="CA44" s="47">
        <v>17</v>
      </c>
    </row>
    <row r="45" s="103" customFormat="1" ht="31" customHeight="1" spans="1:79">
      <c r="A45" s="47">
        <v>44</v>
      </c>
      <c r="B45" s="47" t="s">
        <v>791</v>
      </c>
      <c r="C45" s="111" t="s">
        <v>590</v>
      </c>
      <c r="D45" s="111" t="str">
        <f t="shared" si="0"/>
        <v>女</v>
      </c>
      <c r="E45" s="47" t="s">
        <v>81</v>
      </c>
      <c r="F45" s="47" t="s">
        <v>144</v>
      </c>
      <c r="G45" s="117" t="s">
        <v>792</v>
      </c>
      <c r="H45" s="18">
        <v>43693</v>
      </c>
      <c r="I45" s="111">
        <v>15608691025</v>
      </c>
      <c r="J45" s="27" t="s">
        <v>793</v>
      </c>
      <c r="K45" s="28" t="s">
        <v>85</v>
      </c>
      <c r="L45" s="28" t="s">
        <v>794</v>
      </c>
      <c r="M45" s="47" t="s">
        <v>187</v>
      </c>
      <c r="N45" s="28" t="s">
        <v>795</v>
      </c>
      <c r="O45" s="32" t="str">
        <f t="shared" si="4"/>
        <v>1980-07-08</v>
      </c>
      <c r="P45" s="34">
        <f ca="1" t="shared" si="2"/>
        <v>46</v>
      </c>
      <c r="Q45" s="47">
        <f ca="1" t="shared" si="7"/>
        <v>6</v>
      </c>
      <c r="R45" s="28" t="s">
        <v>88</v>
      </c>
      <c r="S45" s="47" t="s">
        <v>89</v>
      </c>
      <c r="T45" s="28" t="s">
        <v>90</v>
      </c>
      <c r="U45" s="47" t="s">
        <v>91</v>
      </c>
      <c r="V45" s="47" t="s">
        <v>92</v>
      </c>
      <c r="W45" s="47"/>
      <c r="X45" s="47"/>
      <c r="Y45" s="37" t="s">
        <v>796</v>
      </c>
      <c r="Z45" s="65">
        <v>2017.1</v>
      </c>
      <c r="AA45" s="47">
        <v>2019.8</v>
      </c>
      <c r="AB45" s="47" t="s">
        <v>797</v>
      </c>
      <c r="AC45" s="47"/>
      <c r="AD45" s="47"/>
      <c r="AE45" s="47"/>
      <c r="AF45" s="238" t="s">
        <v>96</v>
      </c>
      <c r="AG45" s="37" t="s">
        <v>97</v>
      </c>
      <c r="AH45" s="240"/>
      <c r="AI45" s="47">
        <v>1998.9</v>
      </c>
      <c r="AJ45" s="47">
        <v>2001.6</v>
      </c>
      <c r="AK45" s="47"/>
      <c r="AL45" s="47"/>
      <c r="AM45" s="47"/>
      <c r="AN45" s="111" t="s">
        <v>99</v>
      </c>
      <c r="AO45" s="28" t="s">
        <v>795</v>
      </c>
      <c r="AP45" s="37" t="s">
        <v>176</v>
      </c>
      <c r="AQ45" s="47" t="s">
        <v>798</v>
      </c>
      <c r="AR45" s="47" t="s">
        <v>102</v>
      </c>
      <c r="AS45" s="47">
        <v>44</v>
      </c>
      <c r="AT45" s="47" t="s">
        <v>178</v>
      </c>
      <c r="AU45" s="47" t="s">
        <v>798</v>
      </c>
      <c r="AV45" s="47" t="s">
        <v>104</v>
      </c>
      <c r="AW45" s="28">
        <v>18927299052</v>
      </c>
      <c r="AX45" s="37" t="s">
        <v>799</v>
      </c>
      <c r="AY45" s="47">
        <v>4</v>
      </c>
      <c r="AZ45" s="50">
        <v>43784</v>
      </c>
      <c r="BA45" s="123">
        <v>45930</v>
      </c>
      <c r="BB45" s="47" t="s">
        <v>106</v>
      </c>
      <c r="BC45" s="47"/>
      <c r="BD45" s="47"/>
      <c r="BE45" s="47"/>
      <c r="BF45" s="37"/>
      <c r="BG45" s="47"/>
      <c r="BH45" s="37" t="s">
        <v>800</v>
      </c>
      <c r="BI45" s="37"/>
      <c r="BJ45" s="37"/>
      <c r="BK45" s="47"/>
      <c r="BL45" s="268" t="s">
        <v>801</v>
      </c>
      <c r="BM45" s="47" t="s">
        <v>109</v>
      </c>
      <c r="BN45" s="37" t="s">
        <v>110</v>
      </c>
      <c r="BO45" s="65">
        <v>2019.1</v>
      </c>
      <c r="BP45" s="58" t="s">
        <v>802</v>
      </c>
      <c r="BQ45" s="37" t="s">
        <v>803</v>
      </c>
      <c r="BR45" s="65">
        <v>2019.1</v>
      </c>
      <c r="BS45" s="47" t="s">
        <v>111</v>
      </c>
      <c r="BT45" s="47"/>
      <c r="BU45" s="206" t="s">
        <v>164</v>
      </c>
      <c r="BV45" s="47"/>
      <c r="BW45" s="47"/>
      <c r="BX45" s="200">
        <v>43784</v>
      </c>
      <c r="BY45" s="197">
        <v>1980</v>
      </c>
      <c r="BZ45" s="47">
        <v>7</v>
      </c>
      <c r="CA45" s="47">
        <v>8</v>
      </c>
    </row>
    <row r="46" s="103" customFormat="1" ht="31" customHeight="1" spans="1:79">
      <c r="A46" s="47">
        <v>45</v>
      </c>
      <c r="B46" s="47" t="s">
        <v>804</v>
      </c>
      <c r="C46" s="111" t="s">
        <v>805</v>
      </c>
      <c r="D46" s="111" t="str">
        <f t="shared" si="0"/>
        <v>女</v>
      </c>
      <c r="E46" s="47" t="s">
        <v>81</v>
      </c>
      <c r="F46" s="47" t="s">
        <v>144</v>
      </c>
      <c r="G46" s="117" t="s">
        <v>806</v>
      </c>
      <c r="H46" s="118">
        <v>43164</v>
      </c>
      <c r="I46" s="58">
        <v>13477372532</v>
      </c>
      <c r="J46" s="275" t="s">
        <v>807</v>
      </c>
      <c r="K46" s="28" t="s">
        <v>116</v>
      </c>
      <c r="L46" s="58" t="s">
        <v>808</v>
      </c>
      <c r="M46" s="47" t="s">
        <v>149</v>
      </c>
      <c r="N46" s="58" t="s">
        <v>809</v>
      </c>
      <c r="O46" s="32" t="str">
        <f t="shared" si="4"/>
        <v>1988-09-18</v>
      </c>
      <c r="P46" s="34">
        <f ca="1" t="shared" si="2"/>
        <v>38</v>
      </c>
      <c r="Q46" s="47">
        <f ca="1" t="shared" si="7"/>
        <v>8</v>
      </c>
      <c r="R46" s="28" t="s">
        <v>88</v>
      </c>
      <c r="S46" s="47" t="s">
        <v>89</v>
      </c>
      <c r="T46" s="58" t="s">
        <v>90</v>
      </c>
      <c r="U46" s="47" t="s">
        <v>91</v>
      </c>
      <c r="V46" s="47" t="s">
        <v>92</v>
      </c>
      <c r="W46" s="47"/>
      <c r="X46" s="47"/>
      <c r="Y46" s="37" t="s">
        <v>810</v>
      </c>
      <c r="Z46" s="47">
        <v>2013.7</v>
      </c>
      <c r="AA46" s="47">
        <v>2014.11</v>
      </c>
      <c r="AB46" s="47" t="s">
        <v>811</v>
      </c>
      <c r="AC46" s="47"/>
      <c r="AD46" s="47"/>
      <c r="AE46" s="47"/>
      <c r="AF46" s="111" t="s">
        <v>154</v>
      </c>
      <c r="AG46" s="37" t="s">
        <v>812</v>
      </c>
      <c r="AH46" s="58" t="s">
        <v>813</v>
      </c>
      <c r="AI46" s="47">
        <v>2008.9</v>
      </c>
      <c r="AJ46" s="47">
        <v>2011.6</v>
      </c>
      <c r="AK46" s="47"/>
      <c r="AL46" s="47"/>
      <c r="AM46" s="47"/>
      <c r="AN46" s="111" t="s">
        <v>814</v>
      </c>
      <c r="AO46" s="58" t="s">
        <v>809</v>
      </c>
      <c r="AP46" s="37" t="s">
        <v>815</v>
      </c>
      <c r="AQ46" s="47" t="s">
        <v>816</v>
      </c>
      <c r="AR46" s="47" t="s">
        <v>214</v>
      </c>
      <c r="AS46" s="47">
        <v>55</v>
      </c>
      <c r="AT46" s="47" t="s">
        <v>538</v>
      </c>
      <c r="AU46" s="47" t="s">
        <v>816</v>
      </c>
      <c r="AV46" s="47" t="s">
        <v>817</v>
      </c>
      <c r="AW46" s="58">
        <v>13477385923</v>
      </c>
      <c r="AX46" s="37" t="s">
        <v>672</v>
      </c>
      <c r="AY46" s="47">
        <v>4</v>
      </c>
      <c r="AZ46" s="242">
        <v>43255</v>
      </c>
      <c r="BA46" s="123">
        <v>45812</v>
      </c>
      <c r="BB46" s="47" t="s">
        <v>106</v>
      </c>
      <c r="BC46" s="47"/>
      <c r="BD46" s="47"/>
      <c r="BE46" s="47"/>
      <c r="BF46" s="37"/>
      <c r="BG46" s="47"/>
      <c r="BH46" s="37" t="s">
        <v>818</v>
      </c>
      <c r="BI46" s="37"/>
      <c r="BJ46" s="218">
        <v>44805</v>
      </c>
      <c r="BK46" s="47" t="s">
        <v>758</v>
      </c>
      <c r="BL46" s="268" t="s">
        <v>819</v>
      </c>
      <c r="BM46" s="47" t="s">
        <v>109</v>
      </c>
      <c r="BN46" s="37" t="s">
        <v>110</v>
      </c>
      <c r="BO46" s="47">
        <v>2018.6</v>
      </c>
      <c r="BP46" s="58" t="s">
        <v>820</v>
      </c>
      <c r="BQ46" s="269" t="s">
        <v>821</v>
      </c>
      <c r="BR46" s="47">
        <v>2018.6</v>
      </c>
      <c r="BS46" s="47" t="s">
        <v>111</v>
      </c>
      <c r="BT46" s="47">
        <v>520</v>
      </c>
      <c r="BU46" s="206" t="s">
        <v>164</v>
      </c>
      <c r="BV46" s="47"/>
      <c r="BW46" s="47"/>
      <c r="BX46" s="245">
        <v>43255</v>
      </c>
      <c r="BY46" s="197">
        <v>1988</v>
      </c>
      <c r="BZ46" s="47">
        <v>9</v>
      </c>
      <c r="CA46" s="47">
        <v>18</v>
      </c>
    </row>
    <row r="47" s="103" customFormat="1" ht="31" customHeight="1" spans="1:79">
      <c r="A47" s="47">
        <v>46</v>
      </c>
      <c r="B47" s="47" t="s">
        <v>822</v>
      </c>
      <c r="C47" s="111" t="s">
        <v>823</v>
      </c>
      <c r="D47" s="111" t="str">
        <f t="shared" si="0"/>
        <v>女</v>
      </c>
      <c r="E47" s="47" t="s">
        <v>81</v>
      </c>
      <c r="F47" s="47" t="s">
        <v>144</v>
      </c>
      <c r="G47" s="124" t="s">
        <v>824</v>
      </c>
      <c r="H47" s="18">
        <v>43241</v>
      </c>
      <c r="I47" s="111">
        <v>13297137702</v>
      </c>
      <c r="J47" s="27" t="s">
        <v>825</v>
      </c>
      <c r="K47" s="28" t="s">
        <v>224</v>
      </c>
      <c r="L47" s="28" t="s">
        <v>826</v>
      </c>
      <c r="M47" s="47" t="s">
        <v>149</v>
      </c>
      <c r="N47" s="28" t="s">
        <v>826</v>
      </c>
      <c r="O47" s="32" t="str">
        <f t="shared" si="4"/>
        <v>1975-09-02</v>
      </c>
      <c r="P47" s="34">
        <f ca="1" t="shared" si="2"/>
        <v>51</v>
      </c>
      <c r="Q47" s="47">
        <f ca="1" t="shared" si="7"/>
        <v>8</v>
      </c>
      <c r="R47" s="28" t="s">
        <v>88</v>
      </c>
      <c r="S47" s="47" t="s">
        <v>89</v>
      </c>
      <c r="T47" s="28" t="s">
        <v>90</v>
      </c>
      <c r="U47" s="47" t="s">
        <v>91</v>
      </c>
      <c r="V47" s="47" t="s">
        <v>92</v>
      </c>
      <c r="W47" s="47"/>
      <c r="X47" s="47"/>
      <c r="Y47" s="37" t="s">
        <v>827</v>
      </c>
      <c r="Z47" s="47">
        <v>2002.8</v>
      </c>
      <c r="AA47" s="65">
        <v>2017.1</v>
      </c>
      <c r="AB47" s="47" t="s">
        <v>828</v>
      </c>
      <c r="AC47" s="47"/>
      <c r="AD47" s="47" t="s">
        <v>829</v>
      </c>
      <c r="AE47" s="47">
        <v>15827875519</v>
      </c>
      <c r="AF47" s="111" t="s">
        <v>122</v>
      </c>
      <c r="AG47" s="37" t="s">
        <v>830</v>
      </c>
      <c r="AH47" s="28"/>
      <c r="AI47" s="47">
        <v>1990.9</v>
      </c>
      <c r="AJ47" s="47">
        <v>1993.6</v>
      </c>
      <c r="AK47" s="47"/>
      <c r="AL47" s="47"/>
      <c r="AM47" s="47"/>
      <c r="AN47" s="111" t="s">
        <v>99</v>
      </c>
      <c r="AO47" s="28" t="s">
        <v>826</v>
      </c>
      <c r="AP47" s="37" t="s">
        <v>176</v>
      </c>
      <c r="AQ47" s="47" t="s">
        <v>831</v>
      </c>
      <c r="AR47" s="47" t="s">
        <v>102</v>
      </c>
      <c r="AS47" s="47">
        <v>50</v>
      </c>
      <c r="AT47" s="47" t="s">
        <v>103</v>
      </c>
      <c r="AU47" s="47" t="s">
        <v>831</v>
      </c>
      <c r="AV47" s="47" t="s">
        <v>104</v>
      </c>
      <c r="AW47" s="28">
        <v>15671863930</v>
      </c>
      <c r="AX47" s="37" t="s">
        <v>639</v>
      </c>
      <c r="AY47" s="47">
        <v>4</v>
      </c>
      <c r="AZ47" s="50">
        <v>43332</v>
      </c>
      <c r="BA47" s="123">
        <v>45900</v>
      </c>
      <c r="BB47" s="47" t="s">
        <v>106</v>
      </c>
      <c r="BC47" s="47"/>
      <c r="BD47" s="47"/>
      <c r="BE47" s="47"/>
      <c r="BF47" s="37"/>
      <c r="BG47" s="47"/>
      <c r="BH47" s="37" t="s">
        <v>832</v>
      </c>
      <c r="BI47" s="37"/>
      <c r="BJ47" s="37"/>
      <c r="BK47" s="47"/>
      <c r="BL47" s="268" t="s">
        <v>833</v>
      </c>
      <c r="BM47" s="47" t="s">
        <v>109</v>
      </c>
      <c r="BN47" s="37" t="s">
        <v>110</v>
      </c>
      <c r="BO47" s="47">
        <v>2018.9</v>
      </c>
      <c r="BP47" s="58" t="s">
        <v>834</v>
      </c>
      <c r="BQ47" s="37" t="s">
        <v>835</v>
      </c>
      <c r="BR47" s="47">
        <v>2018.9</v>
      </c>
      <c r="BS47" s="47" t="s">
        <v>111</v>
      </c>
      <c r="BT47" s="47"/>
      <c r="BU47" s="206" t="s">
        <v>164</v>
      </c>
      <c r="BV47" s="47"/>
      <c r="BW47" s="47"/>
      <c r="BX47" s="200">
        <v>43332</v>
      </c>
      <c r="BY47" s="197">
        <v>1975</v>
      </c>
      <c r="BZ47" s="47">
        <v>9</v>
      </c>
      <c r="CA47" s="47">
        <v>2</v>
      </c>
    </row>
    <row r="48" s="103" customFormat="1" ht="31" customHeight="1" spans="1:79">
      <c r="A48" s="47">
        <v>47</v>
      </c>
      <c r="B48" s="47" t="s">
        <v>836</v>
      </c>
      <c r="C48" s="111" t="s">
        <v>837</v>
      </c>
      <c r="D48" s="111" t="str">
        <f t="shared" si="0"/>
        <v>男</v>
      </c>
      <c r="E48" s="47" t="s">
        <v>81</v>
      </c>
      <c r="F48" s="47" t="s">
        <v>144</v>
      </c>
      <c r="G48" s="117" t="s">
        <v>838</v>
      </c>
      <c r="H48" s="18">
        <v>43287</v>
      </c>
      <c r="I48" s="111">
        <v>13986980492</v>
      </c>
      <c r="J48" s="27" t="s">
        <v>839</v>
      </c>
      <c r="K48" s="28" t="s">
        <v>85</v>
      </c>
      <c r="L48" s="58" t="s">
        <v>840</v>
      </c>
      <c r="M48" s="47" t="s">
        <v>149</v>
      </c>
      <c r="N48" s="58" t="s">
        <v>840</v>
      </c>
      <c r="O48" s="32" t="str">
        <f t="shared" si="4"/>
        <v>1996-07-20</v>
      </c>
      <c r="P48" s="34">
        <f ca="1" t="shared" si="2"/>
        <v>30</v>
      </c>
      <c r="Q48" s="47">
        <f ca="1" t="shared" si="7"/>
        <v>7</v>
      </c>
      <c r="R48" s="28" t="s">
        <v>88</v>
      </c>
      <c r="S48" s="47" t="s">
        <v>89</v>
      </c>
      <c r="T48" s="28" t="s">
        <v>90</v>
      </c>
      <c r="U48" s="47" t="s">
        <v>91</v>
      </c>
      <c r="V48" s="47" t="s">
        <v>92</v>
      </c>
      <c r="W48" s="47"/>
      <c r="X48" s="47"/>
      <c r="Y48" s="37" t="s">
        <v>841</v>
      </c>
      <c r="Z48" s="47">
        <v>2014.3</v>
      </c>
      <c r="AA48" s="47">
        <v>2015.3</v>
      </c>
      <c r="AB48" s="47" t="s">
        <v>828</v>
      </c>
      <c r="AC48" s="47"/>
      <c r="AD48" s="47"/>
      <c r="AE48" s="47"/>
      <c r="AF48" s="111" t="s">
        <v>208</v>
      </c>
      <c r="AG48" s="37" t="s">
        <v>842</v>
      </c>
      <c r="AH48" s="28" t="s">
        <v>843</v>
      </c>
      <c r="AI48" s="47">
        <v>2011.9</v>
      </c>
      <c r="AJ48" s="47">
        <v>2013.7</v>
      </c>
      <c r="AK48" s="47"/>
      <c r="AL48" s="47"/>
      <c r="AM48" s="47"/>
      <c r="AN48" s="111" t="s">
        <v>194</v>
      </c>
      <c r="AO48" s="58" t="s">
        <v>840</v>
      </c>
      <c r="AP48" s="37" t="s">
        <v>100</v>
      </c>
      <c r="AQ48" s="47" t="s">
        <v>844</v>
      </c>
      <c r="AR48" s="47" t="s">
        <v>102</v>
      </c>
      <c r="AS48" s="47">
        <v>53</v>
      </c>
      <c r="AT48" s="47" t="s">
        <v>103</v>
      </c>
      <c r="AU48" s="47" t="s">
        <v>844</v>
      </c>
      <c r="AV48" s="47" t="s">
        <v>393</v>
      </c>
      <c r="AW48" s="111">
        <v>13409617704</v>
      </c>
      <c r="AX48" s="37" t="s">
        <v>845</v>
      </c>
      <c r="AY48" s="47">
        <v>4</v>
      </c>
      <c r="AZ48" s="243">
        <v>43378</v>
      </c>
      <c r="BA48" s="123">
        <v>45935</v>
      </c>
      <c r="BB48" s="47" t="s">
        <v>106</v>
      </c>
      <c r="BC48" s="47"/>
      <c r="BD48" s="47"/>
      <c r="BE48" s="47"/>
      <c r="BF48" s="37"/>
      <c r="BG48" s="47"/>
      <c r="BH48" s="37" t="s">
        <v>846</v>
      </c>
      <c r="BI48" s="37"/>
      <c r="BJ48" s="37"/>
      <c r="BK48" s="47"/>
      <c r="BL48" s="268" t="s">
        <v>847</v>
      </c>
      <c r="BM48" s="47" t="s">
        <v>109</v>
      </c>
      <c r="BN48" s="37" t="s">
        <v>110</v>
      </c>
      <c r="BO48" s="65">
        <v>2018.1</v>
      </c>
      <c r="BP48" s="58" t="s">
        <v>848</v>
      </c>
      <c r="BQ48" s="269" t="s">
        <v>849</v>
      </c>
      <c r="BR48" s="65">
        <v>2018.1</v>
      </c>
      <c r="BS48" s="47" t="s">
        <v>111</v>
      </c>
      <c r="BT48" s="47"/>
      <c r="BU48" s="206" t="s">
        <v>164</v>
      </c>
      <c r="BV48" s="47"/>
      <c r="BW48" s="47"/>
      <c r="BX48" s="246">
        <v>43378</v>
      </c>
      <c r="BY48" s="197">
        <v>1996</v>
      </c>
      <c r="BZ48" s="47">
        <v>7</v>
      </c>
      <c r="CA48" s="47">
        <v>20</v>
      </c>
    </row>
    <row r="49" s="103" customFormat="1" ht="31" customHeight="1" spans="1:79">
      <c r="A49" s="47">
        <v>48</v>
      </c>
      <c r="B49" s="47" t="s">
        <v>850</v>
      </c>
      <c r="C49" s="111" t="s">
        <v>851</v>
      </c>
      <c r="D49" s="111" t="str">
        <f t="shared" si="0"/>
        <v>男</v>
      </c>
      <c r="E49" s="47" t="s">
        <v>81</v>
      </c>
      <c r="F49" s="47" t="s">
        <v>144</v>
      </c>
      <c r="G49" s="117" t="s">
        <v>852</v>
      </c>
      <c r="H49" s="18">
        <v>43525</v>
      </c>
      <c r="I49" s="111">
        <v>18271198597</v>
      </c>
      <c r="J49" s="27" t="s">
        <v>853</v>
      </c>
      <c r="K49" s="28" t="s">
        <v>85</v>
      </c>
      <c r="L49" s="28" t="s">
        <v>854</v>
      </c>
      <c r="M49" s="47" t="s">
        <v>149</v>
      </c>
      <c r="N49" s="28" t="s">
        <v>854</v>
      </c>
      <c r="O49" s="32" t="str">
        <f t="shared" si="4"/>
        <v>1971-11-30</v>
      </c>
      <c r="P49" s="34">
        <f ca="1" t="shared" si="2"/>
        <v>55</v>
      </c>
      <c r="Q49" s="47">
        <f ca="1" t="shared" si="7"/>
        <v>7</v>
      </c>
      <c r="R49" s="28" t="s">
        <v>88</v>
      </c>
      <c r="S49" s="47" t="s">
        <v>89</v>
      </c>
      <c r="T49" s="28" t="s">
        <v>90</v>
      </c>
      <c r="U49" s="47" t="s">
        <v>91</v>
      </c>
      <c r="V49" s="47" t="s">
        <v>92</v>
      </c>
      <c r="W49" s="47"/>
      <c r="X49" s="47"/>
      <c r="Y49" s="37" t="s">
        <v>855</v>
      </c>
      <c r="Z49" s="47">
        <v>2013.11</v>
      </c>
      <c r="AA49" s="47">
        <v>2018.5</v>
      </c>
      <c r="AB49" s="47" t="s">
        <v>856</v>
      </c>
      <c r="AC49" s="47"/>
      <c r="AD49" s="47"/>
      <c r="AE49" s="47"/>
      <c r="AF49" s="153" t="s">
        <v>122</v>
      </c>
      <c r="AG49" s="37" t="s">
        <v>857</v>
      </c>
      <c r="AH49" s="157"/>
      <c r="AI49" s="47">
        <v>1986.9</v>
      </c>
      <c r="AJ49" s="47">
        <v>1989.7</v>
      </c>
      <c r="AK49" s="47"/>
      <c r="AL49" s="47" t="s">
        <v>443</v>
      </c>
      <c r="AM49" s="47"/>
      <c r="AN49" s="111" t="s">
        <v>99</v>
      </c>
      <c r="AO49" s="28" t="s">
        <v>854</v>
      </c>
      <c r="AP49" s="37" t="s">
        <v>212</v>
      </c>
      <c r="AQ49" s="47" t="s">
        <v>858</v>
      </c>
      <c r="AR49" s="47" t="s">
        <v>214</v>
      </c>
      <c r="AS49" s="47">
        <v>51</v>
      </c>
      <c r="AT49" s="47" t="s">
        <v>103</v>
      </c>
      <c r="AU49" s="47" t="s">
        <v>858</v>
      </c>
      <c r="AV49" s="47" t="s">
        <v>104</v>
      </c>
      <c r="AW49" s="28">
        <v>13581340950</v>
      </c>
      <c r="AX49" s="37" t="s">
        <v>179</v>
      </c>
      <c r="AY49" s="47">
        <v>4</v>
      </c>
      <c r="AZ49" s="50">
        <v>43617</v>
      </c>
      <c r="BA49" s="123">
        <v>45808</v>
      </c>
      <c r="BB49" s="47" t="s">
        <v>106</v>
      </c>
      <c r="BC49" s="47"/>
      <c r="BD49" s="47"/>
      <c r="BE49" s="47"/>
      <c r="BF49" s="37"/>
      <c r="BG49" s="47"/>
      <c r="BH49" s="37" t="s">
        <v>859</v>
      </c>
      <c r="BI49" s="37"/>
      <c r="BJ49" s="218">
        <v>44348</v>
      </c>
      <c r="BK49" s="47" t="s">
        <v>758</v>
      </c>
      <c r="BL49" s="268" t="s">
        <v>860</v>
      </c>
      <c r="BM49" s="47" t="s">
        <v>109</v>
      </c>
      <c r="BN49" s="37" t="s">
        <v>110</v>
      </c>
      <c r="BO49" s="47">
        <v>2019.7</v>
      </c>
      <c r="BP49" s="58" t="s">
        <v>861</v>
      </c>
      <c r="BQ49" s="269" t="s">
        <v>862</v>
      </c>
      <c r="BR49" s="47">
        <v>2019.7</v>
      </c>
      <c r="BS49" s="47" t="s">
        <v>111</v>
      </c>
      <c r="BT49" s="47"/>
      <c r="BU49" s="206" t="s">
        <v>164</v>
      </c>
      <c r="BV49" s="47"/>
      <c r="BW49" s="47"/>
      <c r="BX49" s="200">
        <v>43617</v>
      </c>
      <c r="BY49" s="197">
        <v>1971</v>
      </c>
      <c r="BZ49" s="47">
        <v>11</v>
      </c>
      <c r="CA49" s="47">
        <v>30</v>
      </c>
    </row>
    <row r="50" s="103" customFormat="1" ht="31" customHeight="1" spans="1:79">
      <c r="A50" s="47">
        <v>49</v>
      </c>
      <c r="B50" s="47" t="s">
        <v>863</v>
      </c>
      <c r="C50" s="58" t="s">
        <v>264</v>
      </c>
      <c r="D50" s="111" t="str">
        <f t="shared" si="0"/>
        <v>女</v>
      </c>
      <c r="E50" s="47" t="s">
        <v>81</v>
      </c>
      <c r="F50" s="47" t="s">
        <v>144</v>
      </c>
      <c r="G50" s="117" t="s">
        <v>864</v>
      </c>
      <c r="H50" s="18">
        <v>43525</v>
      </c>
      <c r="I50" s="111">
        <v>13032750052</v>
      </c>
      <c r="J50" s="27" t="s">
        <v>865</v>
      </c>
      <c r="K50" s="28" t="s">
        <v>205</v>
      </c>
      <c r="L50" s="28" t="s">
        <v>866</v>
      </c>
      <c r="M50" s="47" t="s">
        <v>149</v>
      </c>
      <c r="N50" s="28" t="s">
        <v>867</v>
      </c>
      <c r="O50" s="32" t="str">
        <f t="shared" si="4"/>
        <v>1976-02-27</v>
      </c>
      <c r="P50" s="34">
        <f ca="1" t="shared" si="2"/>
        <v>50</v>
      </c>
      <c r="Q50" s="47">
        <f ca="1" t="shared" si="7"/>
        <v>7</v>
      </c>
      <c r="R50" s="28" t="s">
        <v>88</v>
      </c>
      <c r="S50" s="47" t="s">
        <v>89</v>
      </c>
      <c r="T50" s="28" t="s">
        <v>90</v>
      </c>
      <c r="U50" s="47" t="s">
        <v>91</v>
      </c>
      <c r="V50" s="47" t="s">
        <v>92</v>
      </c>
      <c r="W50" s="47"/>
      <c r="X50" s="47"/>
      <c r="Y50" s="37" t="s">
        <v>868</v>
      </c>
      <c r="Z50" s="47">
        <v>2018.4</v>
      </c>
      <c r="AA50" s="47">
        <v>2019.5</v>
      </c>
      <c r="AB50" s="47" t="s">
        <v>121</v>
      </c>
      <c r="AC50" s="47"/>
      <c r="AD50" s="47"/>
      <c r="AE50" s="47"/>
      <c r="AF50" s="111" t="s">
        <v>96</v>
      </c>
      <c r="AG50" s="37" t="s">
        <v>97</v>
      </c>
      <c r="AH50" s="28"/>
      <c r="AI50" s="47">
        <v>1990.9</v>
      </c>
      <c r="AJ50" s="47">
        <v>1993.6</v>
      </c>
      <c r="AK50" s="47"/>
      <c r="AL50" s="47"/>
      <c r="AM50" s="47"/>
      <c r="AN50" s="111" t="s">
        <v>99</v>
      </c>
      <c r="AO50" s="28" t="s">
        <v>867</v>
      </c>
      <c r="AP50" s="37" t="s">
        <v>176</v>
      </c>
      <c r="AQ50" s="47" t="s">
        <v>869</v>
      </c>
      <c r="AR50" s="47" t="s">
        <v>102</v>
      </c>
      <c r="AS50" s="47">
        <v>49</v>
      </c>
      <c r="AT50" s="37" t="s">
        <v>870</v>
      </c>
      <c r="AU50" s="47" t="s">
        <v>869</v>
      </c>
      <c r="AV50" s="47" t="s">
        <v>104</v>
      </c>
      <c r="AW50" s="28">
        <v>13597952608</v>
      </c>
      <c r="AX50" s="37" t="s">
        <v>365</v>
      </c>
      <c r="AY50" s="47">
        <v>4</v>
      </c>
      <c r="AZ50" s="50">
        <v>43617</v>
      </c>
      <c r="BA50" s="123">
        <v>46142</v>
      </c>
      <c r="BB50" s="47" t="s">
        <v>106</v>
      </c>
      <c r="BC50" s="47"/>
      <c r="BD50" s="47"/>
      <c r="BE50" s="47"/>
      <c r="BF50" s="37"/>
      <c r="BG50" s="47"/>
      <c r="BH50" s="37" t="s">
        <v>871</v>
      </c>
      <c r="BI50" s="37"/>
      <c r="BJ50" s="37"/>
      <c r="BK50" s="47"/>
      <c r="BL50" s="268" t="s">
        <v>872</v>
      </c>
      <c r="BM50" s="47" t="s">
        <v>109</v>
      </c>
      <c r="BN50" s="37" t="s">
        <v>110</v>
      </c>
      <c r="BO50" s="47">
        <v>2020.5</v>
      </c>
      <c r="BP50" s="58" t="s">
        <v>873</v>
      </c>
      <c r="BQ50" s="269" t="s">
        <v>874</v>
      </c>
      <c r="BR50" s="47">
        <v>2020.5</v>
      </c>
      <c r="BS50" s="47" t="s">
        <v>111</v>
      </c>
      <c r="BT50" s="47"/>
      <c r="BU50" s="206" t="s">
        <v>164</v>
      </c>
      <c r="BV50" s="47"/>
      <c r="BW50" s="47"/>
      <c r="BX50" s="200">
        <v>43617</v>
      </c>
      <c r="BY50" s="197">
        <v>1976</v>
      </c>
      <c r="BZ50" s="47">
        <v>2</v>
      </c>
      <c r="CA50" s="47">
        <v>27</v>
      </c>
    </row>
    <row r="51" s="103" customFormat="1" ht="31" customHeight="1" spans="1:79">
      <c r="A51" s="47">
        <v>50</v>
      </c>
      <c r="B51" s="47" t="s">
        <v>875</v>
      </c>
      <c r="C51" s="111" t="s">
        <v>876</v>
      </c>
      <c r="D51" s="111" t="str">
        <f t="shared" si="0"/>
        <v>女</v>
      </c>
      <c r="E51" s="47" t="s">
        <v>81</v>
      </c>
      <c r="F51" s="47" t="s">
        <v>144</v>
      </c>
      <c r="G51" s="117" t="s">
        <v>877</v>
      </c>
      <c r="H51" s="18">
        <v>43522</v>
      </c>
      <c r="I51" s="111">
        <v>15872915345</v>
      </c>
      <c r="J51" s="27" t="s">
        <v>878</v>
      </c>
      <c r="K51" s="28" t="s">
        <v>224</v>
      </c>
      <c r="L51" s="28" t="s">
        <v>879</v>
      </c>
      <c r="M51" s="47" t="s">
        <v>149</v>
      </c>
      <c r="N51" s="28" t="s">
        <v>879</v>
      </c>
      <c r="O51" s="32" t="str">
        <f t="shared" si="4"/>
        <v>1974-04-26</v>
      </c>
      <c r="P51" s="34">
        <f ca="1" t="shared" si="2"/>
        <v>52</v>
      </c>
      <c r="Q51" s="47">
        <f ca="1" t="shared" si="7"/>
        <v>7</v>
      </c>
      <c r="R51" s="28" t="s">
        <v>88</v>
      </c>
      <c r="S51" s="47" t="s">
        <v>89</v>
      </c>
      <c r="T51" s="28" t="s">
        <v>90</v>
      </c>
      <c r="U51" s="47" t="s">
        <v>91</v>
      </c>
      <c r="V51" s="47" t="s">
        <v>92</v>
      </c>
      <c r="W51" s="47"/>
      <c r="X51" s="47"/>
      <c r="Y51" s="47" t="s">
        <v>880</v>
      </c>
      <c r="Z51" s="47">
        <v>2016.4</v>
      </c>
      <c r="AA51" s="47">
        <v>2018.11</v>
      </c>
      <c r="AB51" s="47" t="s">
        <v>121</v>
      </c>
      <c r="AC51" s="47"/>
      <c r="AD51" s="47"/>
      <c r="AE51" s="47"/>
      <c r="AF51" s="111" t="s">
        <v>122</v>
      </c>
      <c r="AG51" s="37" t="s">
        <v>881</v>
      </c>
      <c r="AH51" s="28"/>
      <c r="AI51" s="47"/>
      <c r="AJ51" s="47"/>
      <c r="AK51" s="47"/>
      <c r="AL51" s="47"/>
      <c r="AM51" s="47"/>
      <c r="AN51" s="111" t="s">
        <v>99</v>
      </c>
      <c r="AO51" s="28" t="s">
        <v>879</v>
      </c>
      <c r="AP51" s="37" t="s">
        <v>176</v>
      </c>
      <c r="AQ51" s="47" t="s">
        <v>882</v>
      </c>
      <c r="AR51" s="47" t="s">
        <v>102</v>
      </c>
      <c r="AS51" s="47">
        <v>50</v>
      </c>
      <c r="AT51" s="37" t="s">
        <v>883</v>
      </c>
      <c r="AU51" s="47" t="s">
        <v>882</v>
      </c>
      <c r="AV51" s="47" t="s">
        <v>104</v>
      </c>
      <c r="AW51" s="28">
        <v>13098421820</v>
      </c>
      <c r="AX51" s="37" t="s">
        <v>179</v>
      </c>
      <c r="AY51" s="47">
        <v>4</v>
      </c>
      <c r="AZ51" s="50">
        <v>43617</v>
      </c>
      <c r="BA51" s="123">
        <v>45808</v>
      </c>
      <c r="BB51" s="47" t="s">
        <v>106</v>
      </c>
      <c r="BC51" s="47"/>
      <c r="BD51" s="47"/>
      <c r="BE51" s="47"/>
      <c r="BF51" s="37"/>
      <c r="BG51" s="47"/>
      <c r="BH51" s="37" t="s">
        <v>884</v>
      </c>
      <c r="BI51" s="37"/>
      <c r="BJ51" s="37"/>
      <c r="BK51" s="47"/>
      <c r="BL51" s="268" t="s">
        <v>885</v>
      </c>
      <c r="BM51" s="47" t="s">
        <v>109</v>
      </c>
      <c r="BN51" s="37" t="s">
        <v>110</v>
      </c>
      <c r="BO51" s="47">
        <v>2019.6</v>
      </c>
      <c r="BP51" s="58" t="s">
        <v>886</v>
      </c>
      <c r="BQ51" s="269" t="s">
        <v>887</v>
      </c>
      <c r="BR51" s="47">
        <v>2019.6</v>
      </c>
      <c r="BS51" s="47" t="s">
        <v>111</v>
      </c>
      <c r="BT51" s="47"/>
      <c r="BU51" s="206" t="s">
        <v>164</v>
      </c>
      <c r="BV51" s="47"/>
      <c r="BW51" s="47"/>
      <c r="BX51" s="200">
        <v>43617</v>
      </c>
      <c r="BY51" s="197">
        <v>1974</v>
      </c>
      <c r="BZ51" s="248">
        <v>4</v>
      </c>
      <c r="CA51" s="248">
        <v>26</v>
      </c>
    </row>
    <row r="52" s="103" customFormat="1" ht="31" customHeight="1" spans="1:79">
      <c r="A52" s="47">
        <v>51</v>
      </c>
      <c r="B52" s="47" t="s">
        <v>888</v>
      </c>
      <c r="C52" s="111" t="s">
        <v>889</v>
      </c>
      <c r="D52" s="111" t="str">
        <f t="shared" si="0"/>
        <v>男</v>
      </c>
      <c r="E52" s="47" t="s">
        <v>81</v>
      </c>
      <c r="F52" s="47" t="s">
        <v>144</v>
      </c>
      <c r="G52" s="117" t="s">
        <v>890</v>
      </c>
      <c r="H52" s="18">
        <v>43591</v>
      </c>
      <c r="I52" s="111">
        <v>13227165025</v>
      </c>
      <c r="J52" s="265" t="s">
        <v>891</v>
      </c>
      <c r="K52" s="28" t="s">
        <v>892</v>
      </c>
      <c r="L52" s="58" t="s">
        <v>893</v>
      </c>
      <c r="M52" s="47" t="s">
        <v>282</v>
      </c>
      <c r="N52" s="37" t="s">
        <v>144</v>
      </c>
      <c r="O52" s="32" t="str">
        <f t="shared" si="4"/>
        <v>1970-04-20</v>
      </c>
      <c r="P52" s="34">
        <f ca="1" t="shared" si="2"/>
        <v>56</v>
      </c>
      <c r="Q52" s="47">
        <f ca="1" t="shared" si="7"/>
        <v>7</v>
      </c>
      <c r="R52" s="28" t="s">
        <v>88</v>
      </c>
      <c r="S52" s="47" t="s">
        <v>89</v>
      </c>
      <c r="T52" s="28" t="s">
        <v>90</v>
      </c>
      <c r="U52" s="47" t="s">
        <v>91</v>
      </c>
      <c r="V52" s="47" t="s">
        <v>92</v>
      </c>
      <c r="W52" s="47"/>
      <c r="X52" s="47"/>
      <c r="Y52" s="37" t="s">
        <v>894</v>
      </c>
      <c r="Z52" s="65">
        <v>2013.1</v>
      </c>
      <c r="AA52" s="47">
        <v>2018.12</v>
      </c>
      <c r="AB52" s="47" t="s">
        <v>895</v>
      </c>
      <c r="AC52" s="47"/>
      <c r="AD52" s="47"/>
      <c r="AE52" s="47"/>
      <c r="AF52" s="111" t="s">
        <v>96</v>
      </c>
      <c r="AG52" s="37"/>
      <c r="AH52" s="28"/>
      <c r="AI52" s="47"/>
      <c r="AJ52" s="47"/>
      <c r="AK52" s="47"/>
      <c r="AL52" s="47"/>
      <c r="AM52" s="47"/>
      <c r="AN52" s="111" t="s">
        <v>99</v>
      </c>
      <c r="AO52" s="37" t="s">
        <v>893</v>
      </c>
      <c r="AP52" s="37" t="s">
        <v>212</v>
      </c>
      <c r="AQ52" s="47" t="s">
        <v>896</v>
      </c>
      <c r="AR52" s="47" t="s">
        <v>214</v>
      </c>
      <c r="AS52" s="47">
        <v>53</v>
      </c>
      <c r="AT52" s="47" t="s">
        <v>445</v>
      </c>
      <c r="AU52" s="47" t="s">
        <v>896</v>
      </c>
      <c r="AV52" s="47" t="s">
        <v>104</v>
      </c>
      <c r="AW52" s="111">
        <v>15335761906</v>
      </c>
      <c r="AX52" s="37" t="s">
        <v>463</v>
      </c>
      <c r="AY52" s="47">
        <v>4</v>
      </c>
      <c r="AZ52" s="177">
        <v>43682</v>
      </c>
      <c r="BA52" s="123">
        <v>45838</v>
      </c>
      <c r="BB52" s="47" t="s">
        <v>106</v>
      </c>
      <c r="BC52" s="47"/>
      <c r="BD52" s="47"/>
      <c r="BE52" s="47"/>
      <c r="BF52" s="37"/>
      <c r="BG52" s="47"/>
      <c r="BH52" s="37" t="s">
        <v>897</v>
      </c>
      <c r="BI52" s="37"/>
      <c r="BJ52" s="37"/>
      <c r="BK52" s="47"/>
      <c r="BL52" s="268" t="s">
        <v>898</v>
      </c>
      <c r="BM52" s="47" t="s">
        <v>109</v>
      </c>
      <c r="BN52" s="37" t="s">
        <v>110</v>
      </c>
      <c r="BO52" s="47">
        <v>2019.7</v>
      </c>
      <c r="BP52" s="58" t="s">
        <v>899</v>
      </c>
      <c r="BQ52" s="269" t="s">
        <v>900</v>
      </c>
      <c r="BR52" s="47">
        <v>2019.7</v>
      </c>
      <c r="BS52" s="47" t="s">
        <v>111</v>
      </c>
      <c r="BT52" s="47">
        <v>501</v>
      </c>
      <c r="BU52" s="206" t="s">
        <v>775</v>
      </c>
      <c r="BV52" s="47"/>
      <c r="BW52" s="47"/>
      <c r="BX52" s="209">
        <v>43682</v>
      </c>
      <c r="BY52" s="197">
        <v>1970</v>
      </c>
      <c r="BZ52" s="47">
        <v>4</v>
      </c>
      <c r="CA52" s="47">
        <v>20</v>
      </c>
    </row>
    <row r="53" s="103" customFormat="1" ht="31" customHeight="1" spans="1:79">
      <c r="A53" s="47">
        <v>52</v>
      </c>
      <c r="B53" s="47" t="s">
        <v>901</v>
      </c>
      <c r="C53" s="111" t="s">
        <v>902</v>
      </c>
      <c r="D53" s="111" t="str">
        <f t="shared" si="0"/>
        <v>男</v>
      </c>
      <c r="E53" s="47" t="s">
        <v>81</v>
      </c>
      <c r="F53" s="47" t="s">
        <v>144</v>
      </c>
      <c r="G53" s="124" t="s">
        <v>83</v>
      </c>
      <c r="H53" s="18">
        <v>43598</v>
      </c>
      <c r="I53" s="111">
        <v>13736367958</v>
      </c>
      <c r="J53" s="265" t="s">
        <v>903</v>
      </c>
      <c r="K53" s="28" t="s">
        <v>85</v>
      </c>
      <c r="L53" s="58" t="s">
        <v>904</v>
      </c>
      <c r="M53" s="47" t="s">
        <v>149</v>
      </c>
      <c r="N53" s="58" t="s">
        <v>905</v>
      </c>
      <c r="O53" s="32" t="str">
        <f t="shared" si="4"/>
        <v>1976-09-10</v>
      </c>
      <c r="P53" s="34">
        <f ca="1" t="shared" si="2"/>
        <v>50</v>
      </c>
      <c r="Q53" s="47">
        <f ca="1" t="shared" si="7"/>
        <v>7</v>
      </c>
      <c r="R53" s="28" t="s">
        <v>88</v>
      </c>
      <c r="S53" s="47" t="s">
        <v>89</v>
      </c>
      <c r="T53" s="28" t="s">
        <v>90</v>
      </c>
      <c r="U53" s="47" t="s">
        <v>91</v>
      </c>
      <c r="V53" s="47" t="s">
        <v>92</v>
      </c>
      <c r="W53" s="47" t="s">
        <v>499</v>
      </c>
      <c r="X53" s="47"/>
      <c r="Y53" s="47" t="s">
        <v>906</v>
      </c>
      <c r="Z53" s="47">
        <v>2008</v>
      </c>
      <c r="AA53" s="47">
        <v>2019</v>
      </c>
      <c r="AB53" s="47" t="s">
        <v>907</v>
      </c>
      <c r="AC53" s="47"/>
      <c r="AD53" s="47"/>
      <c r="AE53" s="47"/>
      <c r="AF53" s="111" t="s">
        <v>96</v>
      </c>
      <c r="AG53" s="37"/>
      <c r="AH53" s="28"/>
      <c r="AI53" s="47"/>
      <c r="AJ53" s="47"/>
      <c r="AK53" s="47"/>
      <c r="AL53" s="47"/>
      <c r="AM53" s="47"/>
      <c r="AN53" s="111" t="s">
        <v>814</v>
      </c>
      <c r="AO53" s="58" t="s">
        <v>905</v>
      </c>
      <c r="AP53" s="37" t="s">
        <v>100</v>
      </c>
      <c r="AQ53" s="47" t="s">
        <v>908</v>
      </c>
      <c r="AR53" s="47" t="s">
        <v>102</v>
      </c>
      <c r="AS53" s="47"/>
      <c r="AT53" s="47"/>
      <c r="AU53" s="47" t="s">
        <v>908</v>
      </c>
      <c r="AV53" s="47" t="s">
        <v>393</v>
      </c>
      <c r="AW53" s="111">
        <v>15327490516</v>
      </c>
      <c r="AX53" s="37" t="s">
        <v>463</v>
      </c>
      <c r="AY53" s="47">
        <v>4</v>
      </c>
      <c r="AZ53" s="50">
        <v>43689</v>
      </c>
      <c r="BA53" s="123">
        <v>45838</v>
      </c>
      <c r="BB53" s="47" t="s">
        <v>106</v>
      </c>
      <c r="BC53" s="47"/>
      <c r="BD53" s="47"/>
      <c r="BE53" s="47"/>
      <c r="BF53" s="37"/>
      <c r="BG53" s="47"/>
      <c r="BH53" s="37" t="s">
        <v>909</v>
      </c>
      <c r="BI53" s="37"/>
      <c r="BJ53" s="37"/>
      <c r="BK53" s="47"/>
      <c r="BL53" s="268" t="s">
        <v>910</v>
      </c>
      <c r="BM53" s="47" t="s">
        <v>109</v>
      </c>
      <c r="BN53" s="37" t="s">
        <v>110</v>
      </c>
      <c r="BO53" s="47">
        <v>2019.7</v>
      </c>
      <c r="BP53" s="58" t="s">
        <v>911</v>
      </c>
      <c r="BQ53" s="269" t="s">
        <v>912</v>
      </c>
      <c r="BR53" s="47">
        <v>2019.7</v>
      </c>
      <c r="BS53" s="47" t="s">
        <v>111</v>
      </c>
      <c r="BT53" s="47"/>
      <c r="BU53" s="206" t="s">
        <v>164</v>
      </c>
      <c r="BV53" s="47"/>
      <c r="BW53" s="47"/>
      <c r="BX53" s="200">
        <v>43689</v>
      </c>
      <c r="BY53" s="197">
        <v>1976</v>
      </c>
      <c r="BZ53" s="47">
        <v>9</v>
      </c>
      <c r="CA53" s="47">
        <v>10</v>
      </c>
    </row>
    <row r="54" s="103" customFormat="1" ht="31" customHeight="1" spans="1:79">
      <c r="A54" s="47">
        <v>53</v>
      </c>
      <c r="B54" s="47" t="s">
        <v>913</v>
      </c>
      <c r="C54" s="111" t="s">
        <v>914</v>
      </c>
      <c r="D54" s="111" t="str">
        <f t="shared" si="0"/>
        <v>女</v>
      </c>
      <c r="E54" s="47" t="s">
        <v>81</v>
      </c>
      <c r="F54" s="47" t="s">
        <v>144</v>
      </c>
      <c r="G54" s="117" t="s">
        <v>915</v>
      </c>
      <c r="H54" s="18">
        <v>44002</v>
      </c>
      <c r="I54" s="111">
        <v>18222499648</v>
      </c>
      <c r="J54" s="265" t="s">
        <v>916</v>
      </c>
      <c r="K54" s="58" t="s">
        <v>205</v>
      </c>
      <c r="L54" s="58" t="s">
        <v>917</v>
      </c>
      <c r="M54" s="47" t="s">
        <v>149</v>
      </c>
      <c r="N54" s="58" t="s">
        <v>917</v>
      </c>
      <c r="O54" s="32" t="str">
        <f t="shared" si="4"/>
        <v>1983-06-21</v>
      </c>
      <c r="P54" s="34">
        <f ca="1" t="shared" si="2"/>
        <v>43</v>
      </c>
      <c r="Q54" s="47">
        <f ca="1" t="shared" si="7"/>
        <v>5</v>
      </c>
      <c r="R54" s="111" t="s">
        <v>88</v>
      </c>
      <c r="S54" s="47" t="s">
        <v>89</v>
      </c>
      <c r="T54" s="28" t="s">
        <v>90</v>
      </c>
      <c r="U54" s="47" t="s">
        <v>91</v>
      </c>
      <c r="V54" s="47" t="s">
        <v>92</v>
      </c>
      <c r="W54" s="47"/>
      <c r="X54" s="47"/>
      <c r="Y54" s="37" t="s">
        <v>918</v>
      </c>
      <c r="Z54" s="47">
        <v>2008.8</v>
      </c>
      <c r="AA54" s="65">
        <v>2016.1</v>
      </c>
      <c r="AB54" s="47" t="s">
        <v>121</v>
      </c>
      <c r="AC54" s="47"/>
      <c r="AD54" s="47"/>
      <c r="AE54" s="47"/>
      <c r="AF54" s="111" t="s">
        <v>122</v>
      </c>
      <c r="AG54" s="37" t="s">
        <v>535</v>
      </c>
      <c r="AH54" s="111"/>
      <c r="AI54" s="47"/>
      <c r="AJ54" s="47"/>
      <c r="AK54" s="47"/>
      <c r="AL54" s="47"/>
      <c r="AM54" s="47"/>
      <c r="AN54" s="111" t="s">
        <v>99</v>
      </c>
      <c r="AO54" s="58" t="s">
        <v>917</v>
      </c>
      <c r="AP54" s="37" t="s">
        <v>176</v>
      </c>
      <c r="AQ54" s="47" t="s">
        <v>919</v>
      </c>
      <c r="AR54" s="47" t="s">
        <v>102</v>
      </c>
      <c r="AS54" s="47">
        <v>47</v>
      </c>
      <c r="AT54" s="47" t="s">
        <v>445</v>
      </c>
      <c r="AU54" s="47" t="s">
        <v>920</v>
      </c>
      <c r="AV54" s="47" t="s">
        <v>817</v>
      </c>
      <c r="AW54" s="139" t="s">
        <v>921</v>
      </c>
      <c r="AX54" s="37" t="s">
        <v>922</v>
      </c>
      <c r="AY54" s="47">
        <v>4</v>
      </c>
      <c r="AZ54" s="50">
        <v>44093</v>
      </c>
      <c r="BA54" s="123">
        <v>46295</v>
      </c>
      <c r="BB54" s="47" t="s">
        <v>562</v>
      </c>
      <c r="BC54" s="47" t="s">
        <v>923</v>
      </c>
      <c r="BD54" s="47"/>
      <c r="BE54" s="47"/>
      <c r="BF54" s="37"/>
      <c r="BG54" s="47"/>
      <c r="BH54" s="37" t="s">
        <v>924</v>
      </c>
      <c r="BI54" s="37"/>
      <c r="BJ54" s="37"/>
      <c r="BK54" s="47"/>
      <c r="BL54" s="268" t="s">
        <v>925</v>
      </c>
      <c r="BM54" s="47" t="s">
        <v>109</v>
      </c>
      <c r="BN54" s="37" t="s">
        <v>110</v>
      </c>
      <c r="BO54" s="65">
        <v>2020.1</v>
      </c>
      <c r="BP54" s="58" t="s">
        <v>926</v>
      </c>
      <c r="BQ54" s="269" t="s">
        <v>927</v>
      </c>
      <c r="BR54" s="65">
        <v>2020.1</v>
      </c>
      <c r="BS54" s="47" t="s">
        <v>111</v>
      </c>
      <c r="BT54" s="47"/>
      <c r="BU54" s="206" t="s">
        <v>164</v>
      </c>
      <c r="BV54" s="47"/>
      <c r="BW54" s="47"/>
      <c r="BX54" s="200">
        <v>44093</v>
      </c>
      <c r="BY54" s="197">
        <v>1983</v>
      </c>
      <c r="BZ54" s="47">
        <v>6</v>
      </c>
      <c r="CA54" s="47">
        <v>21</v>
      </c>
    </row>
    <row r="55" s="103" customFormat="1" ht="31" customHeight="1" spans="1:79">
      <c r="A55" s="47">
        <v>54</v>
      </c>
      <c r="B55" s="47" t="s">
        <v>928</v>
      </c>
      <c r="C55" s="111" t="s">
        <v>929</v>
      </c>
      <c r="D55" s="111" t="str">
        <f t="shared" si="0"/>
        <v>女</v>
      </c>
      <c r="E55" s="47" t="s">
        <v>81</v>
      </c>
      <c r="F55" s="47" t="s">
        <v>144</v>
      </c>
      <c r="G55" s="117" t="s">
        <v>930</v>
      </c>
      <c r="H55" s="18">
        <v>44166</v>
      </c>
      <c r="I55" s="111">
        <v>15271795054</v>
      </c>
      <c r="J55" s="27" t="s">
        <v>931</v>
      </c>
      <c r="K55" s="28" t="s">
        <v>932</v>
      </c>
      <c r="L55" s="58" t="s">
        <v>933</v>
      </c>
      <c r="M55" s="47" t="s">
        <v>149</v>
      </c>
      <c r="N55" s="58" t="s">
        <v>933</v>
      </c>
      <c r="O55" s="32" t="str">
        <f t="shared" si="4"/>
        <v>1986-10-18</v>
      </c>
      <c r="P55" s="34">
        <f ca="1" t="shared" si="2"/>
        <v>40</v>
      </c>
      <c r="Q55" s="47">
        <f ca="1" t="shared" si="7"/>
        <v>5</v>
      </c>
      <c r="R55" s="28" t="s">
        <v>88</v>
      </c>
      <c r="S55" s="47" t="s">
        <v>89</v>
      </c>
      <c r="T55" s="28" t="s">
        <v>90</v>
      </c>
      <c r="U55" s="47" t="s">
        <v>91</v>
      </c>
      <c r="V55" s="47" t="s">
        <v>92</v>
      </c>
      <c r="W55" s="47"/>
      <c r="X55" s="47"/>
      <c r="Y55" s="37" t="s">
        <v>934</v>
      </c>
      <c r="Z55" s="47">
        <v>2018.8</v>
      </c>
      <c r="AA55" s="47">
        <v>2020.11</v>
      </c>
      <c r="AB55" s="47" t="s">
        <v>459</v>
      </c>
      <c r="AC55" s="47"/>
      <c r="AD55" s="47"/>
      <c r="AE55" s="47"/>
      <c r="AF55" s="150" t="s">
        <v>96</v>
      </c>
      <c r="AG55" s="37"/>
      <c r="AH55" s="28"/>
      <c r="AI55" s="47"/>
      <c r="AJ55" s="47"/>
      <c r="AK55" s="47"/>
      <c r="AL55" s="47"/>
      <c r="AM55" s="47"/>
      <c r="AN55" s="111" t="s">
        <v>99</v>
      </c>
      <c r="AO55" s="58" t="s">
        <v>933</v>
      </c>
      <c r="AP55" s="37" t="s">
        <v>176</v>
      </c>
      <c r="AQ55" s="47" t="s">
        <v>935</v>
      </c>
      <c r="AR55" s="47" t="s">
        <v>102</v>
      </c>
      <c r="AS55" s="47">
        <v>41</v>
      </c>
      <c r="AT55" s="47" t="s">
        <v>178</v>
      </c>
      <c r="AU55" s="47" t="s">
        <v>935</v>
      </c>
      <c r="AV55" s="47" t="s">
        <v>104</v>
      </c>
      <c r="AW55" s="28">
        <v>15926681547</v>
      </c>
      <c r="AX55" s="37" t="s">
        <v>936</v>
      </c>
      <c r="AY55" s="47">
        <v>3</v>
      </c>
      <c r="AZ55" s="122">
        <v>44256</v>
      </c>
      <c r="BA55" s="123">
        <v>46356</v>
      </c>
      <c r="BB55" s="47" t="s">
        <v>106</v>
      </c>
      <c r="BC55" s="47"/>
      <c r="BD55" s="47"/>
      <c r="BE55" s="47"/>
      <c r="BF55" s="37"/>
      <c r="BG55" s="47"/>
      <c r="BH55" s="37" t="s">
        <v>937</v>
      </c>
      <c r="BI55" s="37"/>
      <c r="BJ55" s="218">
        <v>44682</v>
      </c>
      <c r="BK55" s="47" t="s">
        <v>758</v>
      </c>
      <c r="BL55" s="268" t="s">
        <v>938</v>
      </c>
      <c r="BM55" s="47" t="s">
        <v>109</v>
      </c>
      <c r="BN55" s="37" t="s">
        <v>110</v>
      </c>
      <c r="BO55" s="47">
        <v>2021.3</v>
      </c>
      <c r="BP55" s="58" t="s">
        <v>939</v>
      </c>
      <c r="BQ55" s="269" t="s">
        <v>940</v>
      </c>
      <c r="BR55" s="47">
        <v>2021.3</v>
      </c>
      <c r="BS55" s="47" t="s">
        <v>111</v>
      </c>
      <c r="BT55" s="47"/>
      <c r="BU55" s="206" t="s">
        <v>164</v>
      </c>
      <c r="BV55" s="47"/>
      <c r="BW55" s="47"/>
      <c r="BX55" s="207">
        <v>44256</v>
      </c>
      <c r="BY55" s="197">
        <v>1986</v>
      </c>
      <c r="BZ55" s="47">
        <v>10</v>
      </c>
      <c r="CA55" s="47">
        <v>18</v>
      </c>
    </row>
    <row r="56" s="103" customFormat="1" ht="31" customHeight="1" spans="1:79">
      <c r="A56" s="47">
        <v>55</v>
      </c>
      <c r="B56" s="47" t="s">
        <v>941</v>
      </c>
      <c r="C56" s="111" t="s">
        <v>942</v>
      </c>
      <c r="D56" s="111" t="str">
        <f t="shared" si="0"/>
        <v>男</v>
      </c>
      <c r="E56" s="47" t="s">
        <v>81</v>
      </c>
      <c r="F56" s="47" t="s">
        <v>144</v>
      </c>
      <c r="G56" s="117" t="s">
        <v>943</v>
      </c>
      <c r="H56" s="18">
        <v>44251</v>
      </c>
      <c r="I56" s="111">
        <v>13774070936</v>
      </c>
      <c r="J56" s="27" t="s">
        <v>944</v>
      </c>
      <c r="K56" s="28" t="s">
        <v>224</v>
      </c>
      <c r="L56" s="58" t="s">
        <v>945</v>
      </c>
      <c r="M56" s="47" t="s">
        <v>149</v>
      </c>
      <c r="N56" s="58" t="s">
        <v>945</v>
      </c>
      <c r="O56" s="32" t="str">
        <f t="shared" si="4"/>
        <v>1973-12-25</v>
      </c>
      <c r="P56" s="34">
        <f ca="1" t="shared" si="2"/>
        <v>53</v>
      </c>
      <c r="Q56" s="47">
        <f ca="1" t="shared" si="7"/>
        <v>5</v>
      </c>
      <c r="R56" s="28" t="s">
        <v>88</v>
      </c>
      <c r="S56" s="47" t="s">
        <v>89</v>
      </c>
      <c r="T56" s="28" t="s">
        <v>90</v>
      </c>
      <c r="U56" s="47" t="s">
        <v>91</v>
      </c>
      <c r="V56" s="47" t="s">
        <v>92</v>
      </c>
      <c r="W56" s="47"/>
      <c r="X56" s="47"/>
      <c r="Y56" s="37" t="s">
        <v>946</v>
      </c>
      <c r="Z56" s="47">
        <v>2016.4</v>
      </c>
      <c r="AA56" s="47">
        <v>2021.1</v>
      </c>
      <c r="AB56" s="47" t="s">
        <v>828</v>
      </c>
      <c r="AC56" s="47"/>
      <c r="AD56" s="47"/>
      <c r="AE56" s="47"/>
      <c r="AF56" s="239" t="s">
        <v>208</v>
      </c>
      <c r="AG56" s="37" t="s">
        <v>947</v>
      </c>
      <c r="AH56" s="28" t="s">
        <v>948</v>
      </c>
      <c r="AI56" s="47">
        <v>1989.9</v>
      </c>
      <c r="AJ56" s="47">
        <v>1991.7</v>
      </c>
      <c r="AK56" s="47"/>
      <c r="AL56" s="47"/>
      <c r="AM56" s="47"/>
      <c r="AN56" s="111" t="s">
        <v>99</v>
      </c>
      <c r="AO56" s="58" t="s">
        <v>945</v>
      </c>
      <c r="AP56" s="37" t="s">
        <v>212</v>
      </c>
      <c r="AQ56" s="47" t="s">
        <v>949</v>
      </c>
      <c r="AR56" s="47" t="s">
        <v>214</v>
      </c>
      <c r="AS56" s="47">
        <v>45</v>
      </c>
      <c r="AT56" s="47" t="s">
        <v>445</v>
      </c>
      <c r="AU56" s="47" t="s">
        <v>950</v>
      </c>
      <c r="AV56" s="47" t="s">
        <v>393</v>
      </c>
      <c r="AW56" s="28">
        <v>15926694063</v>
      </c>
      <c r="AX56" s="37" t="s">
        <v>951</v>
      </c>
      <c r="AY56" s="47">
        <v>5</v>
      </c>
      <c r="AZ56" s="122">
        <v>44287</v>
      </c>
      <c r="BA56" s="123">
        <v>46076</v>
      </c>
      <c r="BB56" s="47" t="s">
        <v>106</v>
      </c>
      <c r="BC56" s="47"/>
      <c r="BD56" s="47"/>
      <c r="BE56" s="47"/>
      <c r="BF56" s="37"/>
      <c r="BG56" s="47"/>
      <c r="BH56" s="37" t="s">
        <v>952</v>
      </c>
      <c r="BI56" s="37"/>
      <c r="BJ56" s="37"/>
      <c r="BK56" s="47"/>
      <c r="BL56" s="268" t="s">
        <v>953</v>
      </c>
      <c r="BM56" s="47" t="s">
        <v>109</v>
      </c>
      <c r="BN56" s="37" t="s">
        <v>110</v>
      </c>
      <c r="BO56" s="47">
        <v>2021.4</v>
      </c>
      <c r="BP56" s="58"/>
      <c r="BQ56" s="37"/>
      <c r="BR56" s="47">
        <v>2021.4</v>
      </c>
      <c r="BS56" s="47" t="s">
        <v>111</v>
      </c>
      <c r="BT56" s="47"/>
      <c r="BU56" s="206" t="s">
        <v>164</v>
      </c>
      <c r="BV56" s="47"/>
      <c r="BW56" s="47"/>
      <c r="BX56" s="207">
        <v>44287</v>
      </c>
      <c r="BY56" s="197">
        <v>1973</v>
      </c>
      <c r="BZ56" s="47">
        <v>12</v>
      </c>
      <c r="CA56" s="47">
        <v>25</v>
      </c>
    </row>
    <row r="57" s="103" customFormat="1" ht="31" customHeight="1" spans="1:79">
      <c r="A57" s="47">
        <v>56</v>
      </c>
      <c r="B57" s="47" t="s">
        <v>954</v>
      </c>
      <c r="C57" s="111" t="s">
        <v>955</v>
      </c>
      <c r="D57" s="111" t="str">
        <f t="shared" si="0"/>
        <v>男</v>
      </c>
      <c r="E57" s="47" t="s">
        <v>81</v>
      </c>
      <c r="F57" s="47" t="s">
        <v>144</v>
      </c>
      <c r="G57" s="117" t="s">
        <v>956</v>
      </c>
      <c r="H57" s="18">
        <v>44256</v>
      </c>
      <c r="I57" s="111">
        <v>19533567024</v>
      </c>
      <c r="J57" s="27" t="s">
        <v>957</v>
      </c>
      <c r="K57" s="28" t="s">
        <v>85</v>
      </c>
      <c r="L57" s="236" t="s">
        <v>958</v>
      </c>
      <c r="M57" s="47" t="s">
        <v>149</v>
      </c>
      <c r="N57" s="236" t="s">
        <v>959</v>
      </c>
      <c r="O57" s="32" t="str">
        <f t="shared" si="4"/>
        <v>1973-09-21</v>
      </c>
      <c r="P57" s="34">
        <f ca="1" t="shared" si="2"/>
        <v>53</v>
      </c>
      <c r="Q57" s="47">
        <f ca="1" t="shared" si="7"/>
        <v>5</v>
      </c>
      <c r="R57" s="157" t="s">
        <v>88</v>
      </c>
      <c r="S57" s="47" t="s">
        <v>89</v>
      </c>
      <c r="T57" s="28" t="s">
        <v>90</v>
      </c>
      <c r="U57" s="47" t="s">
        <v>91</v>
      </c>
      <c r="V57" s="47" t="s">
        <v>92</v>
      </c>
      <c r="W57" s="47"/>
      <c r="X57" s="47"/>
      <c r="Y57" s="47"/>
      <c r="Z57" s="47"/>
      <c r="AA57" s="47"/>
      <c r="AB57" s="47" t="s">
        <v>960</v>
      </c>
      <c r="AC57" s="47"/>
      <c r="AD57" s="47"/>
      <c r="AE57" s="47"/>
      <c r="AF57" s="111" t="s">
        <v>96</v>
      </c>
      <c r="AG57" s="37" t="s">
        <v>587</v>
      </c>
      <c r="AH57" s="28"/>
      <c r="AI57" s="47">
        <v>1989.3</v>
      </c>
      <c r="AJ57" s="47">
        <v>1990.9</v>
      </c>
      <c r="AK57" s="47"/>
      <c r="AL57" s="47"/>
      <c r="AM57" s="47"/>
      <c r="AN57" s="111" t="s">
        <v>99</v>
      </c>
      <c r="AO57" s="236" t="s">
        <v>959</v>
      </c>
      <c r="AP57" s="37" t="s">
        <v>212</v>
      </c>
      <c r="AQ57" s="47" t="s">
        <v>961</v>
      </c>
      <c r="AR57" s="47" t="s">
        <v>214</v>
      </c>
      <c r="AS57" s="47">
        <v>46</v>
      </c>
      <c r="AT57" s="47" t="s">
        <v>178</v>
      </c>
      <c r="AU57" s="47" t="s">
        <v>961</v>
      </c>
      <c r="AV57" s="47" t="s">
        <v>104</v>
      </c>
      <c r="AW57" s="28">
        <v>13117066573</v>
      </c>
      <c r="AX57" s="37" t="s">
        <v>962</v>
      </c>
      <c r="AY57" s="47">
        <v>5</v>
      </c>
      <c r="AZ57" s="122">
        <v>44287</v>
      </c>
      <c r="BA57" s="123">
        <v>46081</v>
      </c>
      <c r="BB57" s="47" t="s">
        <v>106</v>
      </c>
      <c r="BC57" s="47"/>
      <c r="BD57" s="47"/>
      <c r="BE57" s="47"/>
      <c r="BF57" s="37"/>
      <c r="BG57" s="47"/>
      <c r="BH57" s="37" t="s">
        <v>963</v>
      </c>
      <c r="BI57" s="37"/>
      <c r="BJ57" s="218">
        <v>44501</v>
      </c>
      <c r="BK57" s="47" t="s">
        <v>758</v>
      </c>
      <c r="BL57" s="268" t="s">
        <v>964</v>
      </c>
      <c r="BM57" s="47" t="s">
        <v>109</v>
      </c>
      <c r="BN57" s="37" t="s">
        <v>110</v>
      </c>
      <c r="BO57" s="47">
        <v>2023.4</v>
      </c>
      <c r="BP57" s="58" t="s">
        <v>965</v>
      </c>
      <c r="BQ57" s="37" t="s">
        <v>966</v>
      </c>
      <c r="BR57" s="47">
        <v>2023.4</v>
      </c>
      <c r="BS57" s="47" t="s">
        <v>111</v>
      </c>
      <c r="BT57" s="47"/>
      <c r="BU57" s="206" t="s">
        <v>164</v>
      </c>
      <c r="BV57" s="47"/>
      <c r="BW57" s="47"/>
      <c r="BX57" s="207">
        <v>44287</v>
      </c>
      <c r="BY57" s="197">
        <v>1973</v>
      </c>
      <c r="BZ57" s="47">
        <v>9</v>
      </c>
      <c r="CA57" s="47">
        <v>21</v>
      </c>
    </row>
    <row r="58" s="103" customFormat="1" ht="31" customHeight="1" spans="1:79">
      <c r="A58" s="47">
        <v>57</v>
      </c>
      <c r="B58" s="47" t="s">
        <v>967</v>
      </c>
      <c r="C58" s="111" t="s">
        <v>702</v>
      </c>
      <c r="D58" s="111" t="str">
        <f t="shared" si="0"/>
        <v>女</v>
      </c>
      <c r="E58" s="47" t="s">
        <v>81</v>
      </c>
      <c r="F58" s="47" t="s">
        <v>144</v>
      </c>
      <c r="G58" s="117" t="s">
        <v>968</v>
      </c>
      <c r="H58" s="122">
        <v>44266</v>
      </c>
      <c r="I58" s="111">
        <v>13872920980</v>
      </c>
      <c r="J58" s="276" t="s">
        <v>969</v>
      </c>
      <c r="K58" s="111" t="s">
        <v>970</v>
      </c>
      <c r="L58" s="58" t="s">
        <v>971</v>
      </c>
      <c r="M58" s="47" t="s">
        <v>149</v>
      </c>
      <c r="N58" s="58" t="s">
        <v>696</v>
      </c>
      <c r="O58" s="32" t="str">
        <f t="shared" si="4"/>
        <v>1981-04-15</v>
      </c>
      <c r="P58" s="34">
        <f ca="1" t="shared" si="2"/>
        <v>45</v>
      </c>
      <c r="Q58" s="47">
        <f ca="1" t="shared" si="7"/>
        <v>5</v>
      </c>
      <c r="R58" s="28" t="s">
        <v>88</v>
      </c>
      <c r="S58" s="47" t="s">
        <v>89</v>
      </c>
      <c r="T58" s="28" t="s">
        <v>90</v>
      </c>
      <c r="U58" s="47" t="s">
        <v>91</v>
      </c>
      <c r="V58" s="47" t="s">
        <v>92</v>
      </c>
      <c r="W58" s="47"/>
      <c r="X58" s="47"/>
      <c r="Y58" s="37" t="s">
        <v>972</v>
      </c>
      <c r="Z58" s="65">
        <v>2018.1</v>
      </c>
      <c r="AA58" s="47">
        <v>2021.2</v>
      </c>
      <c r="AB58" s="47"/>
      <c r="AC58" s="47"/>
      <c r="AD58" s="47"/>
      <c r="AE58" s="47"/>
      <c r="AF58" s="111" t="s">
        <v>122</v>
      </c>
      <c r="AG58" s="37" t="s">
        <v>973</v>
      </c>
      <c r="AH58" s="111"/>
      <c r="AI58" s="47"/>
      <c r="AJ58" s="47"/>
      <c r="AK58" s="47"/>
      <c r="AL58" s="47"/>
      <c r="AM58" s="47"/>
      <c r="AN58" s="111" t="s">
        <v>99</v>
      </c>
      <c r="AO58" s="58" t="s">
        <v>696</v>
      </c>
      <c r="AP58" s="37" t="s">
        <v>176</v>
      </c>
      <c r="AQ58" s="47" t="s">
        <v>692</v>
      </c>
      <c r="AR58" s="47" t="s">
        <v>102</v>
      </c>
      <c r="AS58" s="47">
        <v>42</v>
      </c>
      <c r="AT58" s="47" t="s">
        <v>178</v>
      </c>
      <c r="AU58" s="47" t="s">
        <v>692</v>
      </c>
      <c r="AV58" s="47" t="s">
        <v>104</v>
      </c>
      <c r="AW58" s="111">
        <v>13774052042</v>
      </c>
      <c r="AX58" s="37" t="s">
        <v>974</v>
      </c>
      <c r="AY58" s="47">
        <v>4</v>
      </c>
      <c r="AZ58" s="122">
        <v>44348</v>
      </c>
      <c r="BA58" s="123">
        <v>45726</v>
      </c>
      <c r="BB58" s="47" t="s">
        <v>106</v>
      </c>
      <c r="BC58" s="47"/>
      <c r="BD58" s="47"/>
      <c r="BE58" s="47"/>
      <c r="BF58" s="37"/>
      <c r="BG58" s="47"/>
      <c r="BH58" s="37" t="s">
        <v>975</v>
      </c>
      <c r="BI58" s="37"/>
      <c r="BJ58" s="37"/>
      <c r="BK58" s="47"/>
      <c r="BL58" s="268" t="s">
        <v>976</v>
      </c>
      <c r="BM58" s="47" t="s">
        <v>109</v>
      </c>
      <c r="BN58" s="37" t="s">
        <v>110</v>
      </c>
      <c r="BO58" s="47">
        <v>2021.6</v>
      </c>
      <c r="BP58" s="58" t="s">
        <v>977</v>
      </c>
      <c r="BQ58" s="269" t="s">
        <v>978</v>
      </c>
      <c r="BR58" s="47">
        <v>2021.6</v>
      </c>
      <c r="BS58" s="47" t="s">
        <v>111</v>
      </c>
      <c r="BT58" s="47">
        <v>523</v>
      </c>
      <c r="BU58" s="206" t="s">
        <v>164</v>
      </c>
      <c r="BV58" s="47"/>
      <c r="BW58" s="47"/>
      <c r="BX58" s="207">
        <v>44348</v>
      </c>
      <c r="BY58" s="197">
        <v>1981</v>
      </c>
      <c r="BZ58" s="47">
        <v>4</v>
      </c>
      <c r="CA58" s="47">
        <v>15</v>
      </c>
    </row>
    <row r="59" s="103" customFormat="1" ht="31" customHeight="1" spans="1:79">
      <c r="A59" s="47">
        <v>58</v>
      </c>
      <c r="B59" s="47" t="s">
        <v>979</v>
      </c>
      <c r="C59" s="111" t="s">
        <v>980</v>
      </c>
      <c r="D59" s="111" t="str">
        <f t="shared" si="0"/>
        <v>男</v>
      </c>
      <c r="E59" s="47" t="s">
        <v>81</v>
      </c>
      <c r="F59" s="47" t="s">
        <v>144</v>
      </c>
      <c r="G59" s="117" t="s">
        <v>956</v>
      </c>
      <c r="H59" s="118">
        <v>44299</v>
      </c>
      <c r="I59" s="111">
        <v>13597938165</v>
      </c>
      <c r="J59" s="27" t="s">
        <v>981</v>
      </c>
      <c r="K59" s="28" t="s">
        <v>205</v>
      </c>
      <c r="L59" s="58" t="s">
        <v>982</v>
      </c>
      <c r="M59" s="47" t="s">
        <v>149</v>
      </c>
      <c r="N59" s="58" t="s">
        <v>983</v>
      </c>
      <c r="O59" s="32" t="str">
        <f t="shared" si="4"/>
        <v>1969-04-04</v>
      </c>
      <c r="P59" s="34">
        <f ca="1" t="shared" si="2"/>
        <v>57</v>
      </c>
      <c r="Q59" s="47">
        <f ca="1" t="shared" si="7"/>
        <v>5</v>
      </c>
      <c r="R59" s="28" t="s">
        <v>88</v>
      </c>
      <c r="S59" s="47" t="s">
        <v>89</v>
      </c>
      <c r="T59" s="111" t="s">
        <v>90</v>
      </c>
      <c r="U59" s="47" t="s">
        <v>91</v>
      </c>
      <c r="V59" s="47" t="s">
        <v>92</v>
      </c>
      <c r="W59" s="47"/>
      <c r="X59" s="47"/>
      <c r="Y59" s="47"/>
      <c r="Z59" s="47"/>
      <c r="AA59" s="47"/>
      <c r="AB59" s="47"/>
      <c r="AC59" s="47"/>
      <c r="AD59" s="47"/>
      <c r="AE59" s="47"/>
      <c r="AF59" s="111" t="s">
        <v>122</v>
      </c>
      <c r="AG59" s="37"/>
      <c r="AH59" s="28"/>
      <c r="AI59" s="47"/>
      <c r="AJ59" s="47"/>
      <c r="AK59" s="47"/>
      <c r="AL59" s="47"/>
      <c r="AM59" s="47"/>
      <c r="AN59" s="111" t="s">
        <v>99</v>
      </c>
      <c r="AO59" s="58" t="s">
        <v>983</v>
      </c>
      <c r="AP59" s="37" t="s">
        <v>123</v>
      </c>
      <c r="AQ59" s="47" t="s">
        <v>984</v>
      </c>
      <c r="AR59" s="47" t="s">
        <v>102</v>
      </c>
      <c r="AS59" s="47">
        <v>31</v>
      </c>
      <c r="AT59" s="47" t="s">
        <v>178</v>
      </c>
      <c r="AU59" s="47" t="s">
        <v>985</v>
      </c>
      <c r="AV59" s="47" t="s">
        <v>104</v>
      </c>
      <c r="AW59" s="28">
        <v>13971840524</v>
      </c>
      <c r="AX59" s="37" t="s">
        <v>986</v>
      </c>
      <c r="AY59" s="47">
        <v>3</v>
      </c>
      <c r="AZ59" s="122">
        <v>44299</v>
      </c>
      <c r="BA59" s="123">
        <v>45759</v>
      </c>
      <c r="BB59" s="47" t="s">
        <v>106</v>
      </c>
      <c r="BC59" s="47"/>
      <c r="BD59" s="47"/>
      <c r="BE59" s="47"/>
      <c r="BF59" s="37"/>
      <c r="BG59" s="47"/>
      <c r="BH59" s="37" t="s">
        <v>987</v>
      </c>
      <c r="BI59" s="37"/>
      <c r="BJ59" s="37"/>
      <c r="BK59" s="47"/>
      <c r="BL59" s="268" t="s">
        <v>988</v>
      </c>
      <c r="BM59" s="47" t="s">
        <v>109</v>
      </c>
      <c r="BN59" s="37" t="s">
        <v>110</v>
      </c>
      <c r="BO59" s="47">
        <v>2021.6</v>
      </c>
      <c r="BP59" s="58" t="s">
        <v>989</v>
      </c>
      <c r="BQ59" s="269" t="s">
        <v>990</v>
      </c>
      <c r="BR59" s="47">
        <v>2021.6</v>
      </c>
      <c r="BS59" s="47" t="s">
        <v>111</v>
      </c>
      <c r="BT59" s="47"/>
      <c r="BU59" s="206" t="s">
        <v>164</v>
      </c>
      <c r="BV59" s="47"/>
      <c r="BW59" s="47"/>
      <c r="BX59" s="207">
        <v>44348</v>
      </c>
      <c r="BY59" s="249">
        <v>1969</v>
      </c>
      <c r="BZ59" s="47">
        <v>4</v>
      </c>
      <c r="CA59" s="47">
        <v>4</v>
      </c>
    </row>
    <row r="60" s="103" customFormat="1" ht="31" customHeight="1" spans="1:79">
      <c r="A60" s="47">
        <v>59</v>
      </c>
      <c r="B60" s="47" t="s">
        <v>991</v>
      </c>
      <c r="C60" s="111" t="s">
        <v>992</v>
      </c>
      <c r="D60" s="111" t="str">
        <f t="shared" si="0"/>
        <v>男</v>
      </c>
      <c r="E60" s="230" t="s">
        <v>81</v>
      </c>
      <c r="F60" s="230" t="s">
        <v>144</v>
      </c>
      <c r="G60" s="231" t="s">
        <v>956</v>
      </c>
      <c r="H60" s="232">
        <v>44326</v>
      </c>
      <c r="I60" s="154">
        <v>13477584601</v>
      </c>
      <c r="J60" s="235" t="s">
        <v>993</v>
      </c>
      <c r="K60" s="158" t="s">
        <v>85</v>
      </c>
      <c r="L60" s="237" t="s">
        <v>994</v>
      </c>
      <c r="M60" s="47" t="s">
        <v>149</v>
      </c>
      <c r="N60" s="237" t="s">
        <v>995</v>
      </c>
      <c r="O60" s="32" t="str">
        <f t="shared" si="4"/>
        <v>1974-01-01</v>
      </c>
      <c r="P60" s="34">
        <f ca="1" t="shared" si="2"/>
        <v>52</v>
      </c>
      <c r="Q60" s="47">
        <f ca="1" t="shared" si="7"/>
        <v>5</v>
      </c>
      <c r="R60" s="158" t="s">
        <v>88</v>
      </c>
      <c r="S60" s="230" t="s">
        <v>89</v>
      </c>
      <c r="T60" s="154" t="s">
        <v>90</v>
      </c>
      <c r="U60" s="230" t="s">
        <v>91</v>
      </c>
      <c r="V60" s="47" t="s">
        <v>92</v>
      </c>
      <c r="W60" s="47"/>
      <c r="X60" s="47"/>
      <c r="Y60" s="37" t="s">
        <v>996</v>
      </c>
      <c r="Z60" s="47"/>
      <c r="AA60" s="47"/>
      <c r="AB60" s="47"/>
      <c r="AC60" s="47"/>
      <c r="AD60" s="47"/>
      <c r="AE60" s="47"/>
      <c r="AF60" s="111" t="s">
        <v>122</v>
      </c>
      <c r="AG60" s="37"/>
      <c r="AH60" s="28"/>
      <c r="AI60" s="47"/>
      <c r="AJ60" s="47"/>
      <c r="AK60" s="47"/>
      <c r="AL60" s="47"/>
      <c r="AM60" s="47"/>
      <c r="AN60" s="111" t="s">
        <v>99</v>
      </c>
      <c r="AO60" s="237" t="s">
        <v>995</v>
      </c>
      <c r="AP60" s="37" t="s">
        <v>212</v>
      </c>
      <c r="AQ60" s="47" t="s">
        <v>997</v>
      </c>
      <c r="AR60" s="47" t="s">
        <v>214</v>
      </c>
      <c r="AS60" s="47"/>
      <c r="AT60" s="47" t="s">
        <v>445</v>
      </c>
      <c r="AU60" s="47" t="s">
        <v>998</v>
      </c>
      <c r="AV60" s="47" t="s">
        <v>393</v>
      </c>
      <c r="AW60" s="28">
        <v>16602738464</v>
      </c>
      <c r="AX60" s="37" t="s">
        <v>999</v>
      </c>
      <c r="AY60" s="47">
        <v>3</v>
      </c>
      <c r="AZ60" s="122">
        <v>44326</v>
      </c>
      <c r="BA60" s="123">
        <v>45786</v>
      </c>
      <c r="BB60" s="47" t="s">
        <v>106</v>
      </c>
      <c r="BC60" s="47"/>
      <c r="BD60" s="47"/>
      <c r="BE60" s="47"/>
      <c r="BF60" s="37"/>
      <c r="BG60" s="47"/>
      <c r="BH60" s="37"/>
      <c r="BI60" s="37"/>
      <c r="BJ60" s="37"/>
      <c r="BK60" s="47"/>
      <c r="BL60" s="268" t="s">
        <v>1000</v>
      </c>
      <c r="BM60" s="47" t="s">
        <v>109</v>
      </c>
      <c r="BN60" s="37" t="s">
        <v>110</v>
      </c>
      <c r="BO60" s="47">
        <v>2021.9</v>
      </c>
      <c r="BP60" s="58" t="s">
        <v>1001</v>
      </c>
      <c r="BQ60" s="269" t="s">
        <v>1002</v>
      </c>
      <c r="BR60" s="47">
        <v>2021.9</v>
      </c>
      <c r="BS60" s="47" t="s">
        <v>111</v>
      </c>
      <c r="BT60" s="47"/>
      <c r="BU60" s="206" t="s">
        <v>164</v>
      </c>
      <c r="BV60" s="47"/>
      <c r="BW60" s="47"/>
      <c r="BX60" s="207">
        <v>44440</v>
      </c>
      <c r="BY60" s="249">
        <v>1974</v>
      </c>
      <c r="BZ60" s="47">
        <v>1</v>
      </c>
      <c r="CA60" s="47">
        <v>1</v>
      </c>
    </row>
    <row r="61" s="103" customFormat="1" ht="31" customHeight="1" spans="1:79">
      <c r="A61" s="47">
        <v>60</v>
      </c>
      <c r="B61" s="47" t="s">
        <v>1003</v>
      </c>
      <c r="C61" s="111" t="s">
        <v>1004</v>
      </c>
      <c r="D61" s="111" t="str">
        <f t="shared" si="0"/>
        <v>女</v>
      </c>
      <c r="E61" s="47" t="s">
        <v>81</v>
      </c>
      <c r="F61" s="47" t="s">
        <v>144</v>
      </c>
      <c r="G61" s="58" t="s">
        <v>824</v>
      </c>
      <c r="H61" s="122">
        <v>44406</v>
      </c>
      <c r="I61" s="111">
        <v>15926685624</v>
      </c>
      <c r="J61" s="265" t="s">
        <v>1005</v>
      </c>
      <c r="K61" s="111" t="s">
        <v>224</v>
      </c>
      <c r="L61" s="58" t="s">
        <v>1006</v>
      </c>
      <c r="M61" s="47" t="s">
        <v>149</v>
      </c>
      <c r="N61" s="37" t="s">
        <v>144</v>
      </c>
      <c r="O61" s="32" t="str">
        <f t="shared" si="4"/>
        <v>1977-03-01</v>
      </c>
      <c r="P61" s="34">
        <f ca="1" t="shared" si="2"/>
        <v>49</v>
      </c>
      <c r="Q61" s="47">
        <f ca="1" t="shared" si="7"/>
        <v>4</v>
      </c>
      <c r="R61" s="28" t="s">
        <v>88</v>
      </c>
      <c r="S61" s="47" t="s">
        <v>89</v>
      </c>
      <c r="T61" s="111" t="s">
        <v>90</v>
      </c>
      <c r="U61" s="47" t="s">
        <v>91</v>
      </c>
      <c r="V61" s="47" t="s">
        <v>92</v>
      </c>
      <c r="W61" s="47"/>
      <c r="X61" s="47"/>
      <c r="Y61" s="47" t="s">
        <v>1007</v>
      </c>
      <c r="Z61" s="47">
        <v>2013.2</v>
      </c>
      <c r="AA61" s="47">
        <v>2021.7</v>
      </c>
      <c r="AB61" s="47" t="s">
        <v>121</v>
      </c>
      <c r="AC61" s="47"/>
      <c r="AD61" s="47"/>
      <c r="AE61" s="47"/>
      <c r="AF61" s="111" t="s">
        <v>122</v>
      </c>
      <c r="AG61" s="37" t="s">
        <v>1008</v>
      </c>
      <c r="AH61" s="28"/>
      <c r="AI61" s="47"/>
      <c r="AJ61" s="47"/>
      <c r="AK61" s="47"/>
      <c r="AL61" s="47"/>
      <c r="AM61" s="47"/>
      <c r="AN61" s="111" t="s">
        <v>99</v>
      </c>
      <c r="AO61" s="58" t="s">
        <v>1006</v>
      </c>
      <c r="AP61" s="37" t="s">
        <v>176</v>
      </c>
      <c r="AQ61" s="47" t="s">
        <v>1009</v>
      </c>
      <c r="AR61" s="47" t="s">
        <v>102</v>
      </c>
      <c r="AS61" s="47">
        <v>49</v>
      </c>
      <c r="AT61" s="47" t="s">
        <v>445</v>
      </c>
      <c r="AU61" s="47" t="s">
        <v>1009</v>
      </c>
      <c r="AV61" s="47" t="s">
        <v>104</v>
      </c>
      <c r="AW61" s="111">
        <v>13482837998</v>
      </c>
      <c r="AX61" s="37" t="s">
        <v>589</v>
      </c>
      <c r="AY61" s="47">
        <v>3</v>
      </c>
      <c r="AZ61" s="122">
        <v>44501</v>
      </c>
      <c r="BA61" s="123">
        <v>45961</v>
      </c>
      <c r="BB61" s="47" t="s">
        <v>106</v>
      </c>
      <c r="BC61" s="47"/>
      <c r="BD61" s="47"/>
      <c r="BE61" s="47"/>
      <c r="BF61" s="37"/>
      <c r="BG61" s="47"/>
      <c r="BH61" s="37"/>
      <c r="BI61" s="37"/>
      <c r="BJ61" s="37"/>
      <c r="BK61" s="47"/>
      <c r="BL61" s="268" t="s">
        <v>1010</v>
      </c>
      <c r="BM61" s="47" t="s">
        <v>109</v>
      </c>
      <c r="BN61" s="37" t="s">
        <v>110</v>
      </c>
      <c r="BO61" s="47">
        <v>2021.11</v>
      </c>
      <c r="BP61" s="58" t="s">
        <v>1011</v>
      </c>
      <c r="BQ61" s="269" t="s">
        <v>1012</v>
      </c>
      <c r="BR61" s="47">
        <v>2021.11</v>
      </c>
      <c r="BS61" s="47" t="s">
        <v>111</v>
      </c>
      <c r="BT61" s="47">
        <v>528</v>
      </c>
      <c r="BU61" s="206" t="s">
        <v>164</v>
      </c>
      <c r="BV61" s="47"/>
      <c r="BW61" s="47"/>
      <c r="BX61" s="207">
        <v>44501</v>
      </c>
      <c r="BY61" s="197">
        <v>1977</v>
      </c>
      <c r="BZ61" s="47">
        <v>3</v>
      </c>
      <c r="CA61" s="47">
        <v>1</v>
      </c>
    </row>
    <row r="62" s="103" customFormat="1" ht="31" customHeight="1" spans="1:79">
      <c r="A62" s="47">
        <v>61</v>
      </c>
      <c r="B62" s="47" t="s">
        <v>1013</v>
      </c>
      <c r="C62" s="47" t="s">
        <v>1014</v>
      </c>
      <c r="D62" s="111" t="str">
        <f t="shared" si="0"/>
        <v>女</v>
      </c>
      <c r="E62" s="47" t="s">
        <v>81</v>
      </c>
      <c r="F62" s="47" t="s">
        <v>144</v>
      </c>
      <c r="G62" s="37" t="s">
        <v>1015</v>
      </c>
      <c r="H62" s="123">
        <v>44712</v>
      </c>
      <c r="I62" s="111">
        <v>18672466169</v>
      </c>
      <c r="J62" s="270" t="s">
        <v>1016</v>
      </c>
      <c r="K62" s="28" t="s">
        <v>224</v>
      </c>
      <c r="L62" s="37" t="s">
        <v>1017</v>
      </c>
      <c r="M62" s="47" t="s">
        <v>149</v>
      </c>
      <c r="N62" s="37" t="s">
        <v>1017</v>
      </c>
      <c r="O62" s="32" t="str">
        <f t="shared" si="4"/>
        <v>1975-12-09</v>
      </c>
      <c r="P62" s="34">
        <f ca="1" t="shared" si="2"/>
        <v>51</v>
      </c>
      <c r="Q62" s="47">
        <f ca="1" t="shared" si="7"/>
        <v>4</v>
      </c>
      <c r="R62" s="28" t="s">
        <v>88</v>
      </c>
      <c r="S62" s="47" t="s">
        <v>89</v>
      </c>
      <c r="T62" s="111" t="s">
        <v>90</v>
      </c>
      <c r="U62" s="47" t="s">
        <v>91</v>
      </c>
      <c r="V62" s="47" t="s">
        <v>92</v>
      </c>
      <c r="W62" s="47"/>
      <c r="X62" s="47"/>
      <c r="Y62" s="37" t="s">
        <v>1018</v>
      </c>
      <c r="Z62" s="47">
        <v>2020.11</v>
      </c>
      <c r="AA62" s="47">
        <v>2022.3</v>
      </c>
      <c r="AB62" s="47" t="s">
        <v>828</v>
      </c>
      <c r="AC62" s="47"/>
      <c r="AD62" s="47"/>
      <c r="AE62" s="47"/>
      <c r="AF62" s="47" t="s">
        <v>122</v>
      </c>
      <c r="AG62" s="37"/>
      <c r="AH62" s="47"/>
      <c r="AI62" s="47"/>
      <c r="AJ62" s="47"/>
      <c r="AK62" s="47"/>
      <c r="AL62" s="47"/>
      <c r="AM62" s="47"/>
      <c r="AN62" s="111" t="s">
        <v>99</v>
      </c>
      <c r="AO62" s="37" t="s">
        <v>1017</v>
      </c>
      <c r="AP62" s="37" t="s">
        <v>176</v>
      </c>
      <c r="AQ62" s="47" t="s">
        <v>1019</v>
      </c>
      <c r="AR62" s="47" t="s">
        <v>102</v>
      </c>
      <c r="AS62" s="47">
        <v>52</v>
      </c>
      <c r="AT62" s="47" t="s">
        <v>103</v>
      </c>
      <c r="AU62" s="47" t="s">
        <v>1019</v>
      </c>
      <c r="AV62" s="47" t="s">
        <v>104</v>
      </c>
      <c r="AW62" s="111">
        <v>15572607190</v>
      </c>
      <c r="AX62" s="37" t="s">
        <v>639</v>
      </c>
      <c r="AY62" s="47">
        <v>2</v>
      </c>
      <c r="AZ62" s="123">
        <v>44805</v>
      </c>
      <c r="BA62" s="123">
        <v>45900</v>
      </c>
      <c r="BB62" s="47" t="s">
        <v>106</v>
      </c>
      <c r="BC62" s="47"/>
      <c r="BD62" s="47"/>
      <c r="BE62" s="47"/>
      <c r="BF62" s="37"/>
      <c r="BG62" s="47"/>
      <c r="BH62" s="37" t="s">
        <v>1020</v>
      </c>
      <c r="BI62" s="37"/>
      <c r="BJ62" s="37"/>
      <c r="BK62" s="47"/>
      <c r="BL62" s="268" t="s">
        <v>1021</v>
      </c>
      <c r="BM62" s="47" t="s">
        <v>109</v>
      </c>
      <c r="BN62" s="37" t="s">
        <v>110</v>
      </c>
      <c r="BO62" s="47">
        <v>2022.9</v>
      </c>
      <c r="BP62" s="58"/>
      <c r="BQ62" s="37"/>
      <c r="BR62" s="47">
        <v>2022.9</v>
      </c>
      <c r="BS62" s="47" t="s">
        <v>111</v>
      </c>
      <c r="BT62" s="47"/>
      <c r="BU62" s="206" t="s">
        <v>164</v>
      </c>
      <c r="BV62" s="47"/>
      <c r="BW62" s="47"/>
      <c r="BX62" s="180">
        <v>44805</v>
      </c>
      <c r="BY62" s="197">
        <v>1975</v>
      </c>
      <c r="BZ62" s="47">
        <v>12</v>
      </c>
      <c r="CA62" s="47">
        <v>9</v>
      </c>
    </row>
    <row r="63" s="103" customFormat="1" ht="31" customHeight="1" spans="1:79">
      <c r="A63" s="47">
        <v>62</v>
      </c>
      <c r="B63" s="47" t="s">
        <v>1022</v>
      </c>
      <c r="C63" s="47" t="s">
        <v>1023</v>
      </c>
      <c r="D63" s="111" t="str">
        <f t="shared" si="0"/>
        <v>男</v>
      </c>
      <c r="E63" s="47" t="s">
        <v>81</v>
      </c>
      <c r="F63" s="47" t="s">
        <v>144</v>
      </c>
      <c r="G63" s="37" t="s">
        <v>1024</v>
      </c>
      <c r="H63" s="123">
        <v>44719</v>
      </c>
      <c r="I63" s="111">
        <v>18373034321</v>
      </c>
      <c r="J63" s="270" t="s">
        <v>1025</v>
      </c>
      <c r="K63" s="138" t="s">
        <v>258</v>
      </c>
      <c r="L63" s="37" t="s">
        <v>1026</v>
      </c>
      <c r="M63" s="47" t="s">
        <v>149</v>
      </c>
      <c r="N63" s="37" t="s">
        <v>144</v>
      </c>
      <c r="O63" s="32" t="str">
        <f t="shared" si="4"/>
        <v>1973-12-09</v>
      </c>
      <c r="P63" s="34">
        <f ca="1" t="shared" si="2"/>
        <v>53</v>
      </c>
      <c r="Q63" s="47">
        <f ca="1" t="shared" si="7"/>
        <v>4</v>
      </c>
      <c r="R63" s="28" t="s">
        <v>88</v>
      </c>
      <c r="S63" s="47" t="s">
        <v>89</v>
      </c>
      <c r="T63" s="111" t="s">
        <v>90</v>
      </c>
      <c r="U63" s="47" t="s">
        <v>91</v>
      </c>
      <c r="V63" s="47" t="s">
        <v>92</v>
      </c>
      <c r="W63" s="47"/>
      <c r="X63" s="47"/>
      <c r="Y63" s="47"/>
      <c r="Z63" s="47">
        <v>2018.9</v>
      </c>
      <c r="AA63" s="47">
        <v>2022.6</v>
      </c>
      <c r="AB63" s="47" t="s">
        <v>1027</v>
      </c>
      <c r="AC63" s="47"/>
      <c r="AD63" s="47"/>
      <c r="AE63" s="47"/>
      <c r="AF63" s="47" t="s">
        <v>96</v>
      </c>
      <c r="AG63" s="37" t="s">
        <v>1028</v>
      </c>
      <c r="AH63" s="47"/>
      <c r="AI63" s="47">
        <v>1992.9</v>
      </c>
      <c r="AJ63" s="47">
        <v>1995.7</v>
      </c>
      <c r="AK63" s="47"/>
      <c r="AL63" s="47"/>
      <c r="AM63" s="47"/>
      <c r="AN63" s="111" t="s">
        <v>99</v>
      </c>
      <c r="AO63" s="37" t="s">
        <v>1029</v>
      </c>
      <c r="AP63" s="37" t="s">
        <v>212</v>
      </c>
      <c r="AQ63" s="47" t="s">
        <v>1030</v>
      </c>
      <c r="AR63" s="47" t="s">
        <v>214</v>
      </c>
      <c r="AS63" s="47">
        <v>44</v>
      </c>
      <c r="AT63" s="47" t="s">
        <v>445</v>
      </c>
      <c r="AU63" s="47" t="s">
        <v>1030</v>
      </c>
      <c r="AV63" s="47" t="s">
        <v>104</v>
      </c>
      <c r="AW63" s="111">
        <v>19958033488</v>
      </c>
      <c r="AX63" s="37" t="s">
        <v>216</v>
      </c>
      <c r="AY63" s="47">
        <v>2</v>
      </c>
      <c r="AZ63" s="123">
        <v>44774</v>
      </c>
      <c r="BA63" s="123">
        <v>45869</v>
      </c>
      <c r="BB63" s="47" t="s">
        <v>562</v>
      </c>
      <c r="BC63" s="47" t="s">
        <v>1031</v>
      </c>
      <c r="BD63" s="47"/>
      <c r="BE63" s="47"/>
      <c r="BF63" s="37"/>
      <c r="BG63" s="47"/>
      <c r="BH63" s="37"/>
      <c r="BI63" s="37"/>
      <c r="BJ63" s="37"/>
      <c r="BK63" s="47"/>
      <c r="BL63" s="268" t="s">
        <v>1032</v>
      </c>
      <c r="BM63" s="47" t="s">
        <v>109</v>
      </c>
      <c r="BN63" s="37" t="s">
        <v>110</v>
      </c>
      <c r="BO63" s="47">
        <v>2022.8</v>
      </c>
      <c r="BP63" s="58" t="s">
        <v>1033</v>
      </c>
      <c r="BQ63" s="269" t="s">
        <v>1034</v>
      </c>
      <c r="BR63" s="47">
        <v>2022.8</v>
      </c>
      <c r="BS63" s="47" t="s">
        <v>111</v>
      </c>
      <c r="BT63" s="47">
        <v>509</v>
      </c>
      <c r="BU63" s="206" t="s">
        <v>382</v>
      </c>
      <c r="BV63" s="47"/>
      <c r="BW63" s="47"/>
      <c r="BX63" s="180">
        <v>44774</v>
      </c>
      <c r="BY63" s="197">
        <v>1973</v>
      </c>
      <c r="BZ63" s="47">
        <v>12</v>
      </c>
      <c r="CA63" s="47">
        <v>9</v>
      </c>
    </row>
    <row r="64" s="103" customFormat="1" ht="31" customHeight="1" spans="1:79">
      <c r="A64" s="47">
        <v>63</v>
      </c>
      <c r="B64" s="47" t="s">
        <v>1035</v>
      </c>
      <c r="C64" s="47" t="s">
        <v>1036</v>
      </c>
      <c r="D64" s="111" t="str">
        <f t="shared" si="0"/>
        <v>男</v>
      </c>
      <c r="E64" s="47" t="s">
        <v>81</v>
      </c>
      <c r="F64" s="47" t="s">
        <v>144</v>
      </c>
      <c r="G64" s="37" t="s">
        <v>956</v>
      </c>
      <c r="H64" s="123">
        <v>44828</v>
      </c>
      <c r="I64" s="47">
        <v>18086278485</v>
      </c>
      <c r="J64" s="270" t="s">
        <v>1037</v>
      </c>
      <c r="K64" s="28" t="s">
        <v>293</v>
      </c>
      <c r="L64" s="58" t="s">
        <v>1038</v>
      </c>
      <c r="M64" s="47" t="s">
        <v>149</v>
      </c>
      <c r="N64" s="58" t="s">
        <v>1039</v>
      </c>
      <c r="O64" s="32" t="str">
        <f t="shared" si="4"/>
        <v>1974-07-11</v>
      </c>
      <c r="P64" s="34">
        <f ca="1" t="shared" si="2"/>
        <v>52</v>
      </c>
      <c r="Q64" s="47">
        <f ca="1" t="shared" si="7"/>
        <v>3</v>
      </c>
      <c r="R64" s="28" t="s">
        <v>88</v>
      </c>
      <c r="S64" s="47" t="s">
        <v>89</v>
      </c>
      <c r="T64" s="111" t="s">
        <v>90</v>
      </c>
      <c r="U64" s="47" t="s">
        <v>91</v>
      </c>
      <c r="V64" s="47" t="s">
        <v>92</v>
      </c>
      <c r="W64" s="47"/>
      <c r="X64" s="47"/>
      <c r="Y64" s="37" t="s">
        <v>1040</v>
      </c>
      <c r="Z64" s="47">
        <v>2020.4</v>
      </c>
      <c r="AA64" s="47">
        <v>2020.11</v>
      </c>
      <c r="AB64" s="47" t="s">
        <v>121</v>
      </c>
      <c r="AC64" s="47"/>
      <c r="AD64" s="47"/>
      <c r="AE64" s="47"/>
      <c r="AF64" s="47" t="s">
        <v>122</v>
      </c>
      <c r="AG64" s="37" t="s">
        <v>535</v>
      </c>
      <c r="AH64" s="47"/>
      <c r="AI64" s="47"/>
      <c r="AJ64" s="47"/>
      <c r="AK64" s="47"/>
      <c r="AL64" s="47"/>
      <c r="AM64" s="47"/>
      <c r="AN64" s="111" t="s">
        <v>99</v>
      </c>
      <c r="AO64" s="58" t="s">
        <v>1039</v>
      </c>
      <c r="AP64" s="37" t="s">
        <v>212</v>
      </c>
      <c r="AQ64" s="47" t="s">
        <v>1041</v>
      </c>
      <c r="AR64" s="47" t="s">
        <v>214</v>
      </c>
      <c r="AS64" s="47">
        <v>50</v>
      </c>
      <c r="AT64" s="47" t="s">
        <v>445</v>
      </c>
      <c r="AU64" s="47" t="s">
        <v>1041</v>
      </c>
      <c r="AV64" s="47" t="s">
        <v>104</v>
      </c>
      <c r="AW64" s="47">
        <v>13367231485</v>
      </c>
      <c r="AX64" s="37" t="s">
        <v>287</v>
      </c>
      <c r="AY64" s="47">
        <v>3</v>
      </c>
      <c r="AZ64" s="123">
        <v>44927</v>
      </c>
      <c r="BA64" s="123">
        <v>46022</v>
      </c>
      <c r="BB64" s="47" t="s">
        <v>106</v>
      </c>
      <c r="BC64" s="47"/>
      <c r="BD64" s="47"/>
      <c r="BE64" s="47"/>
      <c r="BF64" s="37"/>
      <c r="BG64" s="47"/>
      <c r="BH64" s="37"/>
      <c r="BI64" s="37"/>
      <c r="BJ64" s="37"/>
      <c r="BK64" s="47"/>
      <c r="BL64" s="268" t="s">
        <v>1042</v>
      </c>
      <c r="BM64" s="47" t="s">
        <v>109</v>
      </c>
      <c r="BN64" s="37" t="s">
        <v>110</v>
      </c>
      <c r="BO64" s="47">
        <v>2023.7</v>
      </c>
      <c r="BP64" s="58"/>
      <c r="BQ64" s="37"/>
      <c r="BR64" s="47">
        <v>2023.7</v>
      </c>
      <c r="BS64" s="47" t="s">
        <v>111</v>
      </c>
      <c r="BT64" s="47"/>
      <c r="BU64" s="206" t="s">
        <v>775</v>
      </c>
      <c r="BV64" s="47"/>
      <c r="BW64" s="47"/>
      <c r="BX64" s="180">
        <v>44927</v>
      </c>
      <c r="BY64" s="197">
        <v>1974</v>
      </c>
      <c r="BZ64" s="47">
        <v>7</v>
      </c>
      <c r="CA64" s="47">
        <v>11</v>
      </c>
    </row>
    <row r="65" s="103" customFormat="1" ht="31" customHeight="1" spans="1:79">
      <c r="A65" s="47">
        <v>64</v>
      </c>
      <c r="B65" s="47" t="s">
        <v>1043</v>
      </c>
      <c r="C65" s="47" t="s">
        <v>1044</v>
      </c>
      <c r="D65" s="111" t="str">
        <f t="shared" si="0"/>
        <v>男</v>
      </c>
      <c r="E65" s="47" t="s">
        <v>81</v>
      </c>
      <c r="F65" s="47" t="s">
        <v>144</v>
      </c>
      <c r="G65" s="37" t="s">
        <v>1045</v>
      </c>
      <c r="H65" s="123">
        <v>44970</v>
      </c>
      <c r="I65" s="47">
        <v>13068180281</v>
      </c>
      <c r="J65" s="270" t="s">
        <v>1046</v>
      </c>
      <c r="K65" s="28" t="s">
        <v>205</v>
      </c>
      <c r="L65" s="37" t="s">
        <v>1047</v>
      </c>
      <c r="M65" s="47" t="s">
        <v>149</v>
      </c>
      <c r="N65" s="37" t="s">
        <v>1048</v>
      </c>
      <c r="O65" s="32" t="str">
        <f t="shared" si="4"/>
        <v>1972-08-12</v>
      </c>
      <c r="P65" s="34">
        <f ca="1" t="shared" si="2"/>
        <v>54</v>
      </c>
      <c r="Q65" s="47">
        <f ca="1" t="shared" si="7"/>
        <v>3</v>
      </c>
      <c r="R65" s="28" t="s">
        <v>88</v>
      </c>
      <c r="S65" s="47" t="s">
        <v>89</v>
      </c>
      <c r="T65" s="111" t="s">
        <v>90</v>
      </c>
      <c r="U65" s="47" t="s">
        <v>91</v>
      </c>
      <c r="V65" s="47" t="s">
        <v>92</v>
      </c>
      <c r="W65" s="47"/>
      <c r="X65" s="47"/>
      <c r="Y65" s="47" t="s">
        <v>1049</v>
      </c>
      <c r="Z65" s="47">
        <v>2021.2</v>
      </c>
      <c r="AA65" s="47">
        <v>2023.2</v>
      </c>
      <c r="AB65" s="47" t="s">
        <v>1050</v>
      </c>
      <c r="AC65" s="47"/>
      <c r="AD65" s="47"/>
      <c r="AE65" s="47"/>
      <c r="AF65" s="47" t="s">
        <v>96</v>
      </c>
      <c r="AG65" s="37" t="s">
        <v>97</v>
      </c>
      <c r="AH65" s="47"/>
      <c r="AI65" s="47">
        <v>1989.9</v>
      </c>
      <c r="AJ65" s="47">
        <v>1992.9</v>
      </c>
      <c r="AK65" s="47"/>
      <c r="AL65" s="47"/>
      <c r="AM65" s="47"/>
      <c r="AN65" s="111" t="s">
        <v>99</v>
      </c>
      <c r="AO65" s="37" t="s">
        <v>1048</v>
      </c>
      <c r="AP65" s="37" t="s">
        <v>212</v>
      </c>
      <c r="AQ65" s="47" t="s">
        <v>1051</v>
      </c>
      <c r="AR65" s="47" t="s">
        <v>214</v>
      </c>
      <c r="AS65" s="47">
        <v>52</v>
      </c>
      <c r="AT65" s="47" t="s">
        <v>178</v>
      </c>
      <c r="AU65" s="47" t="s">
        <v>1051</v>
      </c>
      <c r="AV65" s="47" t="s">
        <v>104</v>
      </c>
      <c r="AW65" s="47">
        <v>13774008194</v>
      </c>
      <c r="AX65" s="37" t="s">
        <v>604</v>
      </c>
      <c r="AY65" s="47">
        <v>1</v>
      </c>
      <c r="AZ65" s="122">
        <v>45413</v>
      </c>
      <c r="BA65" s="123">
        <v>45777</v>
      </c>
      <c r="BB65" s="47" t="s">
        <v>562</v>
      </c>
      <c r="BC65" s="47" t="s">
        <v>1051</v>
      </c>
      <c r="BD65" s="47"/>
      <c r="BE65" s="47"/>
      <c r="BF65" s="37"/>
      <c r="BG65" s="47"/>
      <c r="BH65" s="37"/>
      <c r="BI65" s="37"/>
      <c r="BJ65" s="37"/>
      <c r="BK65" s="47"/>
      <c r="BL65" s="268" t="s">
        <v>1052</v>
      </c>
      <c r="BM65" s="47" t="s">
        <v>109</v>
      </c>
      <c r="BN65" s="37" t="s">
        <v>110</v>
      </c>
      <c r="BO65" s="47">
        <v>2023.5</v>
      </c>
      <c r="BP65" s="58" t="s">
        <v>1053</v>
      </c>
      <c r="BQ65" s="37" t="s">
        <v>1054</v>
      </c>
      <c r="BR65" s="47">
        <v>2023.5</v>
      </c>
      <c r="BS65" s="47" t="s">
        <v>111</v>
      </c>
      <c r="BT65" s="47"/>
      <c r="BU65" s="206" t="s">
        <v>1055</v>
      </c>
      <c r="BV65" s="47"/>
      <c r="BW65" s="47"/>
      <c r="BX65" s="207">
        <v>45047</v>
      </c>
      <c r="BY65" s="197">
        <v>1972</v>
      </c>
      <c r="BZ65" s="47">
        <v>8</v>
      </c>
      <c r="CA65" s="47">
        <v>12</v>
      </c>
    </row>
    <row r="66" s="103" customFormat="1" ht="31" customHeight="1" spans="1:79">
      <c r="A66" s="47">
        <v>65</v>
      </c>
      <c r="B66" s="47" t="s">
        <v>1056</v>
      </c>
      <c r="C66" s="111" t="s">
        <v>1057</v>
      </c>
      <c r="D66" s="111" t="str">
        <f t="shared" ref="D66:D88" si="8">IF(MOD(MID(J66,17,1),2)=1,"男","女")</f>
        <v>男</v>
      </c>
      <c r="E66" s="47" t="s">
        <v>81</v>
      </c>
      <c r="F66" s="47" t="s">
        <v>144</v>
      </c>
      <c r="G66" s="58" t="s">
        <v>877</v>
      </c>
      <c r="H66" s="122">
        <v>44977</v>
      </c>
      <c r="I66" s="111">
        <v>15220238192</v>
      </c>
      <c r="J66" s="265" t="s">
        <v>1058</v>
      </c>
      <c r="K66" s="28" t="s">
        <v>224</v>
      </c>
      <c r="L66" s="58" t="s">
        <v>1059</v>
      </c>
      <c r="M66" s="47" t="s">
        <v>149</v>
      </c>
      <c r="N66" s="58" t="s">
        <v>1059</v>
      </c>
      <c r="O66" s="32" t="str">
        <f t="shared" si="4"/>
        <v>1984-09-17</v>
      </c>
      <c r="P66" s="34">
        <f ca="1" t="shared" ref="P66:P101" si="9">YEAR(TODAY())-MID(J66,7,4)</f>
        <v>42</v>
      </c>
      <c r="Q66" s="47">
        <f ca="1" t="shared" si="7"/>
        <v>3</v>
      </c>
      <c r="R66" s="28" t="s">
        <v>88</v>
      </c>
      <c r="S66" s="47" t="s">
        <v>89</v>
      </c>
      <c r="T66" s="111" t="s">
        <v>90</v>
      </c>
      <c r="U66" s="47" t="s">
        <v>91</v>
      </c>
      <c r="V66" s="47" t="s">
        <v>92</v>
      </c>
      <c r="W66" s="47"/>
      <c r="X66" s="47"/>
      <c r="Y66" s="37" t="s">
        <v>1060</v>
      </c>
      <c r="Z66" s="47">
        <v>2021.6</v>
      </c>
      <c r="AA66" s="47">
        <v>2022.12</v>
      </c>
      <c r="AB66" s="47" t="s">
        <v>828</v>
      </c>
      <c r="AC66" s="47"/>
      <c r="AD66" s="47"/>
      <c r="AE66" s="47"/>
      <c r="AF66" s="111" t="s">
        <v>122</v>
      </c>
      <c r="AG66" s="37" t="s">
        <v>472</v>
      </c>
      <c r="AH66" s="111"/>
      <c r="AI66" s="47"/>
      <c r="AJ66" s="47"/>
      <c r="AK66" s="47"/>
      <c r="AL66" s="47"/>
      <c r="AM66" s="47"/>
      <c r="AN66" s="111" t="s">
        <v>99</v>
      </c>
      <c r="AO66" s="58" t="s">
        <v>1059</v>
      </c>
      <c r="AP66" s="37" t="s">
        <v>100</v>
      </c>
      <c r="AQ66" s="47" t="s">
        <v>1061</v>
      </c>
      <c r="AR66" s="47" t="s">
        <v>102</v>
      </c>
      <c r="AS66" s="47">
        <v>61</v>
      </c>
      <c r="AT66" s="47" t="s">
        <v>103</v>
      </c>
      <c r="AU66" s="47" t="s">
        <v>1062</v>
      </c>
      <c r="AV66" s="47" t="s">
        <v>1063</v>
      </c>
      <c r="AW66" s="111">
        <v>15221989021</v>
      </c>
      <c r="AX66" s="37" t="s">
        <v>604</v>
      </c>
      <c r="AY66" s="47">
        <v>1</v>
      </c>
      <c r="AZ66" s="122">
        <v>45413</v>
      </c>
      <c r="BA66" s="123">
        <v>45777</v>
      </c>
      <c r="BB66" s="47" t="s">
        <v>106</v>
      </c>
      <c r="BC66" s="47"/>
      <c r="BD66" s="47"/>
      <c r="BE66" s="47"/>
      <c r="BF66" s="37"/>
      <c r="BG66" s="47"/>
      <c r="BH66" s="37" t="s">
        <v>1064</v>
      </c>
      <c r="BI66" s="37"/>
      <c r="BJ66" s="37"/>
      <c r="BK66" s="47"/>
      <c r="BL66" s="268" t="s">
        <v>1065</v>
      </c>
      <c r="BM66" s="47"/>
      <c r="BN66" s="47"/>
      <c r="BO66" s="47"/>
      <c r="BP66" s="58"/>
      <c r="BQ66" s="37"/>
      <c r="BR66" s="47"/>
      <c r="BS66" s="47" t="s">
        <v>111</v>
      </c>
      <c r="BT66" s="47"/>
      <c r="BU66" s="206" t="s">
        <v>1055</v>
      </c>
      <c r="BV66" s="47"/>
      <c r="BW66" s="47"/>
      <c r="BX66" s="207">
        <v>45047</v>
      </c>
      <c r="BY66" s="197">
        <v>1984</v>
      </c>
      <c r="BZ66" s="47">
        <v>9</v>
      </c>
      <c r="CA66" s="47">
        <v>17</v>
      </c>
    </row>
    <row r="67" s="103" customFormat="1" ht="32" customHeight="1" spans="1:79">
      <c r="A67" s="47">
        <v>66</v>
      </c>
      <c r="B67" s="47" t="s">
        <v>1066</v>
      </c>
      <c r="C67" s="47" t="s">
        <v>1067</v>
      </c>
      <c r="D67" s="111" t="str">
        <f t="shared" si="8"/>
        <v>女</v>
      </c>
      <c r="E67" s="47" t="s">
        <v>81</v>
      </c>
      <c r="F67" s="47" t="s">
        <v>144</v>
      </c>
      <c r="G67" s="58" t="s">
        <v>877</v>
      </c>
      <c r="H67" s="123">
        <v>44991</v>
      </c>
      <c r="I67" s="47">
        <v>13822101917</v>
      </c>
      <c r="J67" s="111" t="s">
        <v>1068</v>
      </c>
      <c r="K67" s="28" t="s">
        <v>116</v>
      </c>
      <c r="L67" s="58" t="s">
        <v>1069</v>
      </c>
      <c r="M67" s="47" t="s">
        <v>149</v>
      </c>
      <c r="N67" s="58" t="s">
        <v>983</v>
      </c>
      <c r="O67" s="32" t="str">
        <f t="shared" si="4"/>
        <v>1978-12-05</v>
      </c>
      <c r="P67" s="34">
        <f ca="1" t="shared" si="9"/>
        <v>48</v>
      </c>
      <c r="Q67" s="47">
        <f ca="1" t="shared" si="7"/>
        <v>3</v>
      </c>
      <c r="R67" s="28" t="s">
        <v>88</v>
      </c>
      <c r="S67" s="47" t="s">
        <v>89</v>
      </c>
      <c r="T67" s="111" t="s">
        <v>90</v>
      </c>
      <c r="U67" s="47" t="s">
        <v>91</v>
      </c>
      <c r="V67" s="47" t="s">
        <v>92</v>
      </c>
      <c r="W67" s="47"/>
      <c r="X67" s="47"/>
      <c r="Y67" s="37" t="s">
        <v>1070</v>
      </c>
      <c r="Z67" s="47">
        <v>2021.3</v>
      </c>
      <c r="AA67" s="65">
        <v>2022.1</v>
      </c>
      <c r="AB67" s="47" t="s">
        <v>114</v>
      </c>
      <c r="AC67" s="47"/>
      <c r="AD67" s="47"/>
      <c r="AE67" s="47"/>
      <c r="AF67" s="111" t="s">
        <v>122</v>
      </c>
      <c r="AG67" s="37"/>
      <c r="AH67" s="47"/>
      <c r="AI67" s="47"/>
      <c r="AJ67" s="47"/>
      <c r="AK67" s="47"/>
      <c r="AL67" s="47"/>
      <c r="AM67" s="47"/>
      <c r="AN67" s="111" t="s">
        <v>99</v>
      </c>
      <c r="AO67" s="58" t="s">
        <v>983</v>
      </c>
      <c r="AP67" s="37" t="s">
        <v>331</v>
      </c>
      <c r="AQ67" s="47" t="s">
        <v>1071</v>
      </c>
      <c r="AR67" s="47" t="s">
        <v>214</v>
      </c>
      <c r="AS67" s="47">
        <v>20</v>
      </c>
      <c r="AT67" s="47" t="s">
        <v>125</v>
      </c>
      <c r="AU67" s="47" t="s">
        <v>1072</v>
      </c>
      <c r="AV67" s="47" t="s">
        <v>104</v>
      </c>
      <c r="AW67" s="47">
        <v>13610252868</v>
      </c>
      <c r="AX67" s="37" t="s">
        <v>1073</v>
      </c>
      <c r="AY67" s="47">
        <v>1</v>
      </c>
      <c r="AZ67" s="123">
        <v>45078</v>
      </c>
      <c r="BA67" s="123">
        <v>45808</v>
      </c>
      <c r="BB67" s="47" t="s">
        <v>106</v>
      </c>
      <c r="BC67" s="47"/>
      <c r="BD67" s="47"/>
      <c r="BE67" s="47"/>
      <c r="BF67" s="37"/>
      <c r="BG67" s="47"/>
      <c r="BH67" s="37" t="s">
        <v>1074</v>
      </c>
      <c r="BI67" s="37"/>
      <c r="BJ67" s="37"/>
      <c r="BK67" s="47"/>
      <c r="BL67" s="268" t="s">
        <v>1075</v>
      </c>
      <c r="BM67" s="47" t="s">
        <v>109</v>
      </c>
      <c r="BN67" s="37" t="s">
        <v>110</v>
      </c>
      <c r="BO67" s="47">
        <v>2023.7</v>
      </c>
      <c r="BP67" s="58" t="s">
        <v>1076</v>
      </c>
      <c r="BQ67" s="37" t="s">
        <v>1077</v>
      </c>
      <c r="BR67" s="47">
        <v>2023.7</v>
      </c>
      <c r="BS67" s="47" t="s">
        <v>111</v>
      </c>
      <c r="BT67" s="47"/>
      <c r="BU67" s="206" t="s">
        <v>1055</v>
      </c>
      <c r="BV67" s="47"/>
      <c r="BW67" s="47"/>
      <c r="BX67" s="180">
        <v>45078</v>
      </c>
      <c r="BY67" s="197">
        <v>1978</v>
      </c>
      <c r="BZ67" s="47">
        <v>12</v>
      </c>
      <c r="CA67" s="47">
        <v>5</v>
      </c>
    </row>
    <row r="68" s="103" customFormat="1" ht="31" customHeight="1" spans="1:79">
      <c r="A68" s="47">
        <v>67</v>
      </c>
      <c r="B68" s="111" t="s">
        <v>1078</v>
      </c>
      <c r="C68" s="47" t="s">
        <v>1079</v>
      </c>
      <c r="D68" s="111" t="str">
        <f t="shared" si="8"/>
        <v>女</v>
      </c>
      <c r="E68" s="47" t="s">
        <v>81</v>
      </c>
      <c r="F68" s="47" t="s">
        <v>144</v>
      </c>
      <c r="G68" s="58" t="s">
        <v>114</v>
      </c>
      <c r="H68" s="123">
        <v>45175</v>
      </c>
      <c r="I68" s="47">
        <v>15327558001</v>
      </c>
      <c r="J68" s="47" t="s">
        <v>1080</v>
      </c>
      <c r="K68" s="28" t="s">
        <v>224</v>
      </c>
      <c r="L68" s="37" t="s">
        <v>1081</v>
      </c>
      <c r="M68" s="47" t="s">
        <v>149</v>
      </c>
      <c r="N68" s="37" t="s">
        <v>1081</v>
      </c>
      <c r="O68" s="32" t="str">
        <f t="shared" si="4"/>
        <v>1981-05-04</v>
      </c>
      <c r="P68" s="34">
        <f ca="1" t="shared" si="9"/>
        <v>45</v>
      </c>
      <c r="Q68" s="47">
        <f ca="1" t="shared" si="7"/>
        <v>2</v>
      </c>
      <c r="R68" s="28" t="s">
        <v>88</v>
      </c>
      <c r="S68" s="47" t="s">
        <v>89</v>
      </c>
      <c r="T68" s="111" t="s">
        <v>90</v>
      </c>
      <c r="U68" s="47" t="s">
        <v>91</v>
      </c>
      <c r="V68" s="47" t="s">
        <v>92</v>
      </c>
      <c r="W68" s="47"/>
      <c r="X68" s="47"/>
      <c r="Y68" s="37" t="s">
        <v>1082</v>
      </c>
      <c r="Z68" s="47">
        <v>2019.7</v>
      </c>
      <c r="AA68" s="47">
        <v>2023.8</v>
      </c>
      <c r="AB68" s="47" t="s">
        <v>1083</v>
      </c>
      <c r="AC68" s="47"/>
      <c r="AD68" s="47" t="s">
        <v>1084</v>
      </c>
      <c r="AE68" s="47">
        <v>13545487037</v>
      </c>
      <c r="AF68" s="47" t="s">
        <v>208</v>
      </c>
      <c r="AG68" s="37" t="s">
        <v>1085</v>
      </c>
      <c r="AH68" s="47" t="s">
        <v>1086</v>
      </c>
      <c r="AI68" s="47">
        <v>1997.9</v>
      </c>
      <c r="AJ68" s="47">
        <v>1999.9</v>
      </c>
      <c r="AK68" s="47"/>
      <c r="AL68" s="37"/>
      <c r="AM68" s="47"/>
      <c r="AN68" s="111" t="s">
        <v>99</v>
      </c>
      <c r="AO68" s="37" t="s">
        <v>1081</v>
      </c>
      <c r="AP68" s="37" t="s">
        <v>176</v>
      </c>
      <c r="AQ68" s="47" t="s">
        <v>1087</v>
      </c>
      <c r="AR68" s="47" t="s">
        <v>102</v>
      </c>
      <c r="AS68" s="47">
        <v>47</v>
      </c>
      <c r="AT68" s="47" t="s">
        <v>538</v>
      </c>
      <c r="AU68" s="37" t="s">
        <v>1088</v>
      </c>
      <c r="AV68" s="47" t="s">
        <v>347</v>
      </c>
      <c r="AW68" s="47">
        <v>18972869002</v>
      </c>
      <c r="AX68" s="37" t="s">
        <v>756</v>
      </c>
      <c r="AY68" s="37">
        <v>2</v>
      </c>
      <c r="AZ68" s="180">
        <v>45175</v>
      </c>
      <c r="BA68" s="123">
        <v>45991</v>
      </c>
      <c r="BB68" s="47" t="s">
        <v>106</v>
      </c>
      <c r="BC68" s="47"/>
      <c r="BD68" s="47"/>
      <c r="BE68" s="47"/>
      <c r="BF68" s="37"/>
      <c r="BG68" s="47"/>
      <c r="BH68" s="37"/>
      <c r="BI68" s="37"/>
      <c r="BJ68" s="37"/>
      <c r="BK68" s="47"/>
      <c r="BL68" s="273" t="s">
        <v>1089</v>
      </c>
      <c r="BM68" s="47" t="s">
        <v>109</v>
      </c>
      <c r="BN68" s="37" t="s">
        <v>110</v>
      </c>
      <c r="BO68" s="37">
        <v>2024.4</v>
      </c>
      <c r="BP68" s="47"/>
      <c r="BQ68" s="37"/>
      <c r="BR68" s="37">
        <v>2024.4</v>
      </c>
      <c r="BS68" s="47" t="s">
        <v>111</v>
      </c>
      <c r="BT68" s="47"/>
      <c r="BU68" s="206" t="s">
        <v>594</v>
      </c>
      <c r="BV68" s="47"/>
      <c r="BW68" s="47"/>
      <c r="BX68" s="180">
        <v>45261</v>
      </c>
      <c r="BY68" s="197">
        <v>1981</v>
      </c>
      <c r="BZ68" s="47">
        <v>5</v>
      </c>
      <c r="CA68" s="47">
        <v>4</v>
      </c>
    </row>
    <row r="69" s="103" customFormat="1" ht="30.75" customHeight="1" spans="1:79">
      <c r="A69" s="47">
        <v>68</v>
      </c>
      <c r="B69" s="111" t="s">
        <v>1090</v>
      </c>
      <c r="C69" s="47" t="s">
        <v>1091</v>
      </c>
      <c r="D69" s="111" t="str">
        <f t="shared" si="8"/>
        <v>男</v>
      </c>
      <c r="E69" s="47" t="s">
        <v>81</v>
      </c>
      <c r="F69" s="47" t="s">
        <v>144</v>
      </c>
      <c r="G69" s="37" t="s">
        <v>1045</v>
      </c>
      <c r="H69" s="123">
        <v>45204</v>
      </c>
      <c r="I69" s="47">
        <v>17764228136</v>
      </c>
      <c r="J69" s="63" t="s">
        <v>1092</v>
      </c>
      <c r="K69" s="47" t="s">
        <v>224</v>
      </c>
      <c r="L69" s="37" t="s">
        <v>1093</v>
      </c>
      <c r="M69" s="47" t="s">
        <v>149</v>
      </c>
      <c r="N69" s="37" t="s">
        <v>1093</v>
      </c>
      <c r="O69" s="32" t="str">
        <f t="shared" si="4"/>
        <v>1976-12-05</v>
      </c>
      <c r="P69" s="34">
        <f ca="1" t="shared" si="9"/>
        <v>50</v>
      </c>
      <c r="Q69" s="47">
        <f ca="1" t="shared" si="7"/>
        <v>2</v>
      </c>
      <c r="R69" s="28" t="s">
        <v>88</v>
      </c>
      <c r="S69" s="47" t="s">
        <v>89</v>
      </c>
      <c r="T69" s="111" t="s">
        <v>90</v>
      </c>
      <c r="U69" s="47" t="s">
        <v>91</v>
      </c>
      <c r="V69" s="47" t="s">
        <v>92</v>
      </c>
      <c r="W69" s="47"/>
      <c r="X69" s="47"/>
      <c r="Y69" s="37" t="s">
        <v>1094</v>
      </c>
      <c r="Z69" s="47">
        <v>2017.3</v>
      </c>
      <c r="AA69" s="47">
        <v>2021.12</v>
      </c>
      <c r="AB69" s="47" t="s">
        <v>960</v>
      </c>
      <c r="AC69" s="47"/>
      <c r="AD69" s="47" t="s">
        <v>1095</v>
      </c>
      <c r="AE69" s="47">
        <v>15377555686</v>
      </c>
      <c r="AF69" s="47" t="s">
        <v>122</v>
      </c>
      <c r="AG69" s="37" t="s">
        <v>1096</v>
      </c>
      <c r="AH69" s="47"/>
      <c r="AI69" s="47">
        <v>1990.9</v>
      </c>
      <c r="AJ69" s="47">
        <v>1992.7</v>
      </c>
      <c r="AK69" s="47"/>
      <c r="AL69" s="47"/>
      <c r="AM69" s="47"/>
      <c r="AN69" s="111" t="s">
        <v>99</v>
      </c>
      <c r="AO69" s="37" t="s">
        <v>1093</v>
      </c>
      <c r="AP69" s="47" t="s">
        <v>331</v>
      </c>
      <c r="AQ69" s="47" t="s">
        <v>1097</v>
      </c>
      <c r="AR69" s="47" t="s">
        <v>214</v>
      </c>
      <c r="AS69" s="47">
        <v>20</v>
      </c>
      <c r="AT69" s="47" t="s">
        <v>125</v>
      </c>
      <c r="AU69" s="47" t="s">
        <v>1098</v>
      </c>
      <c r="AV69" s="47" t="s">
        <v>104</v>
      </c>
      <c r="AW69" s="47">
        <v>15827580234</v>
      </c>
      <c r="AX69" s="37" t="s">
        <v>756</v>
      </c>
      <c r="AY69" s="47">
        <v>2</v>
      </c>
      <c r="AZ69" s="180">
        <v>45204</v>
      </c>
      <c r="BA69" s="123">
        <v>45991</v>
      </c>
      <c r="BB69" s="47" t="s">
        <v>562</v>
      </c>
      <c r="BC69" s="47" t="s">
        <v>467</v>
      </c>
      <c r="BD69" s="47"/>
      <c r="BE69" s="47"/>
      <c r="BF69" s="47"/>
      <c r="BG69" s="47"/>
      <c r="BH69" s="37" t="s">
        <v>1099</v>
      </c>
      <c r="BI69" s="47"/>
      <c r="BJ69" s="47"/>
      <c r="BK69" s="47"/>
      <c r="BL69" s="273" t="s">
        <v>1100</v>
      </c>
      <c r="BM69" s="47" t="s">
        <v>109</v>
      </c>
      <c r="BN69" s="37" t="s">
        <v>110</v>
      </c>
      <c r="BO69" s="47">
        <v>2023.12</v>
      </c>
      <c r="BP69" s="47"/>
      <c r="BQ69" s="47"/>
      <c r="BR69" s="47">
        <v>2023.12</v>
      </c>
      <c r="BS69" s="47" t="s">
        <v>111</v>
      </c>
      <c r="BT69" s="47"/>
      <c r="BU69" s="206" t="s">
        <v>775</v>
      </c>
      <c r="BV69" s="47"/>
      <c r="BW69" s="47"/>
      <c r="BX69" s="180">
        <v>45261</v>
      </c>
      <c r="BY69" s="197">
        <v>1976</v>
      </c>
      <c r="BZ69" s="47">
        <v>12</v>
      </c>
      <c r="CA69" s="47">
        <v>5</v>
      </c>
    </row>
    <row r="70" s="103" customFormat="1" ht="30.75" customHeight="1" spans="1:79">
      <c r="A70" s="47">
        <v>69</v>
      </c>
      <c r="B70" s="111" t="s">
        <v>1101</v>
      </c>
      <c r="C70" s="47" t="s">
        <v>1102</v>
      </c>
      <c r="D70" s="111" t="str">
        <f t="shared" si="8"/>
        <v>男</v>
      </c>
      <c r="E70" s="47" t="s">
        <v>81</v>
      </c>
      <c r="F70" s="47" t="s">
        <v>144</v>
      </c>
      <c r="G70" s="124" t="s">
        <v>1103</v>
      </c>
      <c r="H70" s="123">
        <v>45278</v>
      </c>
      <c r="I70" s="47">
        <v>13098428068</v>
      </c>
      <c r="J70" s="63" t="s">
        <v>1104</v>
      </c>
      <c r="K70" s="47" t="s">
        <v>224</v>
      </c>
      <c r="L70" s="37" t="s">
        <v>1105</v>
      </c>
      <c r="M70" s="47" t="s">
        <v>149</v>
      </c>
      <c r="N70" s="37" t="s">
        <v>1106</v>
      </c>
      <c r="O70" s="32" t="str">
        <f t="shared" si="4"/>
        <v>1971-02-07</v>
      </c>
      <c r="P70" s="34">
        <f ca="1" t="shared" si="9"/>
        <v>55</v>
      </c>
      <c r="Q70" s="47">
        <f ca="1" t="shared" si="7"/>
        <v>2</v>
      </c>
      <c r="R70" s="28" t="s">
        <v>88</v>
      </c>
      <c r="S70" s="47" t="s">
        <v>89</v>
      </c>
      <c r="T70" s="111" t="s">
        <v>90</v>
      </c>
      <c r="U70" s="47" t="s">
        <v>91</v>
      </c>
      <c r="V70" s="47" t="s">
        <v>92</v>
      </c>
      <c r="W70" s="47"/>
      <c r="X70" s="47"/>
      <c r="Y70" s="37" t="s">
        <v>1107</v>
      </c>
      <c r="Z70" s="47">
        <v>2022.5</v>
      </c>
      <c r="AA70" s="47">
        <v>2023.8</v>
      </c>
      <c r="AB70" s="47" t="s">
        <v>828</v>
      </c>
      <c r="AC70" s="47"/>
      <c r="AD70" s="47"/>
      <c r="AE70" s="47"/>
      <c r="AF70" s="47" t="s">
        <v>122</v>
      </c>
      <c r="AH70" s="47"/>
      <c r="AI70" s="47"/>
      <c r="AJ70" s="47"/>
      <c r="AK70" s="47"/>
      <c r="AL70" s="47"/>
      <c r="AM70" s="47"/>
      <c r="AN70" s="111" t="s">
        <v>99</v>
      </c>
      <c r="AO70" s="37" t="s">
        <v>1106</v>
      </c>
      <c r="AP70" s="47" t="s">
        <v>212</v>
      </c>
      <c r="AQ70" s="47" t="s">
        <v>1108</v>
      </c>
      <c r="AR70" s="47" t="s">
        <v>214</v>
      </c>
      <c r="AS70" s="47">
        <v>50</v>
      </c>
      <c r="AT70" s="47" t="s">
        <v>159</v>
      </c>
      <c r="AU70" s="47" t="s">
        <v>1108</v>
      </c>
      <c r="AV70" s="47" t="s">
        <v>104</v>
      </c>
      <c r="AW70" s="47">
        <v>13597950537</v>
      </c>
      <c r="AX70" s="37" t="s">
        <v>1109</v>
      </c>
      <c r="AY70" s="47">
        <v>1</v>
      </c>
      <c r="AZ70" s="123">
        <v>45369</v>
      </c>
      <c r="BA70" s="123">
        <v>45733</v>
      </c>
      <c r="BB70" s="47" t="s">
        <v>128</v>
      </c>
      <c r="BC70" s="47" t="s">
        <v>923</v>
      </c>
      <c r="BD70" s="47"/>
      <c r="BE70" s="47"/>
      <c r="BF70" s="47"/>
      <c r="BG70" s="47"/>
      <c r="BH70" s="37"/>
      <c r="BI70" s="47"/>
      <c r="BJ70" s="47"/>
      <c r="BK70" s="47"/>
      <c r="BL70" s="273" t="s">
        <v>1110</v>
      </c>
      <c r="BM70" s="47" t="s">
        <v>109</v>
      </c>
      <c r="BN70" s="37" t="s">
        <v>110</v>
      </c>
      <c r="BO70" s="37">
        <v>2024.4</v>
      </c>
      <c r="BP70" s="47"/>
      <c r="BQ70" s="47"/>
      <c r="BR70" s="37">
        <v>2024.4</v>
      </c>
      <c r="BS70" s="47" t="s">
        <v>111</v>
      </c>
      <c r="BT70" s="47"/>
      <c r="BU70" s="206" t="s">
        <v>1111</v>
      </c>
      <c r="BV70" s="47"/>
      <c r="BW70" s="47"/>
      <c r="BX70" s="180">
        <v>45369</v>
      </c>
      <c r="BY70" s="197">
        <v>1971</v>
      </c>
      <c r="BZ70" s="47">
        <v>2</v>
      </c>
      <c r="CA70" s="47">
        <v>7</v>
      </c>
    </row>
    <row r="71" s="103" customFormat="1" ht="31" customHeight="1" spans="1:79">
      <c r="A71" s="47">
        <v>70</v>
      </c>
      <c r="B71" s="47" t="s">
        <v>1112</v>
      </c>
      <c r="C71" s="111" t="s">
        <v>1113</v>
      </c>
      <c r="D71" s="111" t="str">
        <f t="shared" si="8"/>
        <v>女</v>
      </c>
      <c r="E71" s="47" t="s">
        <v>81</v>
      </c>
      <c r="F71" s="47" t="s">
        <v>144</v>
      </c>
      <c r="G71" s="117" t="s">
        <v>1114</v>
      </c>
      <c r="H71" s="18">
        <v>44166</v>
      </c>
      <c r="I71" s="111">
        <v>13085183626</v>
      </c>
      <c r="J71" s="265" t="s">
        <v>1115</v>
      </c>
      <c r="K71" s="28" t="s">
        <v>932</v>
      </c>
      <c r="L71" s="58" t="s">
        <v>1116</v>
      </c>
      <c r="M71" s="47" t="s">
        <v>149</v>
      </c>
      <c r="N71" s="58" t="s">
        <v>1117</v>
      </c>
      <c r="O71" s="32" t="str">
        <f t="shared" si="4"/>
        <v>1979-03-04</v>
      </c>
      <c r="P71" s="34">
        <f ca="1" t="shared" si="9"/>
        <v>47</v>
      </c>
      <c r="Q71" s="47">
        <f ca="1" t="shared" si="7"/>
        <v>5</v>
      </c>
      <c r="R71" s="28" t="s">
        <v>88</v>
      </c>
      <c r="S71" s="47" t="s">
        <v>89</v>
      </c>
      <c r="T71" s="28" t="s">
        <v>90</v>
      </c>
      <c r="U71" s="47" t="s">
        <v>91</v>
      </c>
      <c r="V71" s="47" t="s">
        <v>92</v>
      </c>
      <c r="W71" s="47"/>
      <c r="X71" s="47"/>
      <c r="Y71" s="37" t="s">
        <v>934</v>
      </c>
      <c r="Z71" s="47">
        <v>2018.4</v>
      </c>
      <c r="AA71" s="47">
        <v>2020.9</v>
      </c>
      <c r="AB71" s="47" t="s">
        <v>114</v>
      </c>
      <c r="AC71" s="47"/>
      <c r="AD71" s="47"/>
      <c r="AE71" s="47"/>
      <c r="AF71" s="28" t="s">
        <v>122</v>
      </c>
      <c r="AG71" s="37" t="s">
        <v>1118</v>
      </c>
      <c r="AH71" s="28"/>
      <c r="AI71" s="47">
        <v>1993.9</v>
      </c>
      <c r="AJ71" s="47">
        <v>1996.7</v>
      </c>
      <c r="AK71" s="47"/>
      <c r="AL71" s="47"/>
      <c r="AM71" s="47"/>
      <c r="AN71" s="111" t="s">
        <v>99</v>
      </c>
      <c r="AO71" s="58" t="s">
        <v>1117</v>
      </c>
      <c r="AP71" s="103" t="s">
        <v>176</v>
      </c>
      <c r="AQ71" s="230" t="s">
        <v>1119</v>
      </c>
      <c r="AR71" s="47" t="s">
        <v>102</v>
      </c>
      <c r="AS71" s="47">
        <v>49</v>
      </c>
      <c r="AT71" s="47" t="s">
        <v>538</v>
      </c>
      <c r="AU71" s="47" t="s">
        <v>1119</v>
      </c>
      <c r="AV71" s="47" t="s">
        <v>104</v>
      </c>
      <c r="AW71" s="28">
        <v>15908663207</v>
      </c>
      <c r="AX71" s="37" t="s">
        <v>936</v>
      </c>
      <c r="AY71" s="47">
        <v>3</v>
      </c>
      <c r="AZ71" s="122">
        <v>44256</v>
      </c>
      <c r="BA71" s="123">
        <v>46356</v>
      </c>
      <c r="BB71" s="47" t="s">
        <v>106</v>
      </c>
      <c r="BC71" s="47"/>
      <c r="BD71" s="47"/>
      <c r="BE71" s="47"/>
      <c r="BF71" s="37"/>
      <c r="BG71" s="47"/>
      <c r="BH71" s="37" t="s">
        <v>1120</v>
      </c>
      <c r="BI71" s="37"/>
      <c r="BJ71" s="37"/>
      <c r="BK71" s="47"/>
      <c r="BL71" s="268" t="s">
        <v>1121</v>
      </c>
      <c r="BM71" s="47" t="s">
        <v>109</v>
      </c>
      <c r="BN71" s="37" t="s">
        <v>110</v>
      </c>
      <c r="BO71" s="197">
        <v>2021.3</v>
      </c>
      <c r="BP71" s="58"/>
      <c r="BQ71" s="37"/>
      <c r="BR71" s="197">
        <v>2021.3</v>
      </c>
      <c r="BS71" s="47" t="s">
        <v>111</v>
      </c>
      <c r="BT71" s="47"/>
      <c r="BU71" s="206" t="s">
        <v>164</v>
      </c>
      <c r="BV71" s="47"/>
      <c r="BW71" s="47"/>
      <c r="BX71" s="207">
        <v>44256</v>
      </c>
      <c r="BY71" s="197">
        <v>1979</v>
      </c>
      <c r="BZ71" s="47">
        <v>3</v>
      </c>
      <c r="CA71" s="47">
        <v>4</v>
      </c>
    </row>
    <row r="72" s="103" customFormat="1" ht="31" customHeight="1" spans="1:79">
      <c r="A72" s="47">
        <v>71</v>
      </c>
      <c r="B72" s="47" t="s">
        <v>1122</v>
      </c>
      <c r="C72" s="111" t="s">
        <v>1123</v>
      </c>
      <c r="D72" s="111" t="str">
        <f t="shared" si="8"/>
        <v>男</v>
      </c>
      <c r="E72" s="47" t="s">
        <v>81</v>
      </c>
      <c r="F72" s="47" t="s">
        <v>144</v>
      </c>
      <c r="G72" s="117" t="s">
        <v>1124</v>
      </c>
      <c r="H72" s="18">
        <v>45353</v>
      </c>
      <c r="I72" s="111">
        <v>18772703095</v>
      </c>
      <c r="J72" s="265" t="s">
        <v>1125</v>
      </c>
      <c r="K72" s="28" t="s">
        <v>116</v>
      </c>
      <c r="L72" s="58" t="s">
        <v>1126</v>
      </c>
      <c r="M72" s="47" t="s">
        <v>149</v>
      </c>
      <c r="N72" s="58" t="s">
        <v>484</v>
      </c>
      <c r="O72" s="32" t="str">
        <f t="shared" si="4"/>
        <v>1989-07-18</v>
      </c>
      <c r="P72" s="34">
        <f ca="1" t="shared" si="9"/>
        <v>37</v>
      </c>
      <c r="Q72" s="47">
        <f ca="1" t="shared" si="7"/>
        <v>2</v>
      </c>
      <c r="R72" s="28" t="s">
        <v>88</v>
      </c>
      <c r="S72" s="47" t="s">
        <v>89</v>
      </c>
      <c r="T72" s="28" t="s">
        <v>90</v>
      </c>
      <c r="U72" s="47" t="s">
        <v>91</v>
      </c>
      <c r="V72" s="47" t="s">
        <v>92</v>
      </c>
      <c r="W72" s="47"/>
      <c r="X72" s="47"/>
      <c r="Y72" s="37" t="s">
        <v>1127</v>
      </c>
      <c r="Z72" s="47">
        <v>2016.3</v>
      </c>
      <c r="AA72" s="47">
        <v>2021.5</v>
      </c>
      <c r="AB72" s="47" t="s">
        <v>797</v>
      </c>
      <c r="AC72" s="47"/>
      <c r="AD72" s="47" t="s">
        <v>1128</v>
      </c>
      <c r="AE72" s="47">
        <v>15671357135</v>
      </c>
      <c r="AF72" s="28" t="s">
        <v>96</v>
      </c>
      <c r="AG72" s="37" t="s">
        <v>97</v>
      </c>
      <c r="AH72" s="28"/>
      <c r="AI72" s="47">
        <v>2006.9</v>
      </c>
      <c r="AJ72" s="47">
        <v>2009.6</v>
      </c>
      <c r="AK72" s="47"/>
      <c r="AL72" s="47"/>
      <c r="AM72" s="47"/>
      <c r="AN72" s="111" t="s">
        <v>99</v>
      </c>
      <c r="AO72" s="58" t="s">
        <v>484</v>
      </c>
      <c r="AP72" s="47" t="s">
        <v>100</v>
      </c>
      <c r="AQ72" s="47" t="s">
        <v>1129</v>
      </c>
      <c r="AR72" s="47" t="s">
        <v>102</v>
      </c>
      <c r="AS72" s="47">
        <v>61</v>
      </c>
      <c r="AT72" s="47" t="s">
        <v>1130</v>
      </c>
      <c r="AU72" s="47" t="s">
        <v>1131</v>
      </c>
      <c r="AV72" s="47" t="s">
        <v>104</v>
      </c>
      <c r="AW72" s="28">
        <v>18872429837</v>
      </c>
      <c r="AX72" s="175" t="s">
        <v>604</v>
      </c>
      <c r="AY72" s="47">
        <v>0</v>
      </c>
      <c r="AZ72" s="122">
        <v>45413</v>
      </c>
      <c r="BA72" s="123">
        <v>45777</v>
      </c>
      <c r="BB72" s="47" t="s">
        <v>106</v>
      </c>
      <c r="BC72" s="47"/>
      <c r="BD72" s="47"/>
      <c r="BE72" s="47"/>
      <c r="BF72" s="37"/>
      <c r="BG72" s="47"/>
      <c r="BH72" s="37"/>
      <c r="BI72" s="37"/>
      <c r="BJ72" s="37"/>
      <c r="BK72" s="47"/>
      <c r="BL72" s="268" t="s">
        <v>1132</v>
      </c>
      <c r="BM72" s="47" t="s">
        <v>109</v>
      </c>
      <c r="BN72" s="37" t="s">
        <v>110</v>
      </c>
      <c r="BO72" s="47">
        <v>2024.5</v>
      </c>
      <c r="BP72" s="58"/>
      <c r="BQ72" s="37"/>
      <c r="BR72" s="47">
        <v>2024.5</v>
      </c>
      <c r="BS72" s="47" t="s">
        <v>111</v>
      </c>
      <c r="BT72" s="47"/>
      <c r="BU72" s="206" t="s">
        <v>353</v>
      </c>
      <c r="BV72" s="47"/>
      <c r="BW72" s="47"/>
      <c r="BX72" s="180">
        <v>45413</v>
      </c>
      <c r="BY72" s="197">
        <v>1989</v>
      </c>
      <c r="BZ72" s="47">
        <v>7</v>
      </c>
      <c r="CA72" s="47">
        <v>18</v>
      </c>
    </row>
    <row r="73" s="103" customFormat="1" ht="31" customHeight="1" spans="1:79">
      <c r="A73" s="47">
        <v>72</v>
      </c>
      <c r="B73" s="47" t="s">
        <v>1133</v>
      </c>
      <c r="C73" s="111" t="s">
        <v>1134</v>
      </c>
      <c r="D73" s="111" t="str">
        <f t="shared" si="8"/>
        <v>女</v>
      </c>
      <c r="E73" s="47" t="s">
        <v>81</v>
      </c>
      <c r="F73" s="47" t="s">
        <v>144</v>
      </c>
      <c r="G73" s="117" t="s">
        <v>1135</v>
      </c>
      <c r="H73" s="18">
        <v>45358</v>
      </c>
      <c r="I73" s="111">
        <v>17786767031</v>
      </c>
      <c r="J73" s="265" t="s">
        <v>1136</v>
      </c>
      <c r="K73" s="28" t="s">
        <v>116</v>
      </c>
      <c r="L73" s="58" t="s">
        <v>1137</v>
      </c>
      <c r="M73" s="47" t="s">
        <v>149</v>
      </c>
      <c r="N73" s="58" t="s">
        <v>1138</v>
      </c>
      <c r="O73" s="32" t="str">
        <f t="shared" si="4"/>
        <v>1983-12-06</v>
      </c>
      <c r="P73" s="34">
        <f ca="1" t="shared" si="9"/>
        <v>43</v>
      </c>
      <c r="Q73" s="47">
        <f ca="1" t="shared" si="7"/>
        <v>2</v>
      </c>
      <c r="R73" s="28" t="s">
        <v>88</v>
      </c>
      <c r="S73" s="47" t="s">
        <v>89</v>
      </c>
      <c r="T73" s="28" t="s">
        <v>90</v>
      </c>
      <c r="U73" s="47" t="s">
        <v>91</v>
      </c>
      <c r="V73" s="47" t="s">
        <v>92</v>
      </c>
      <c r="W73" s="47"/>
      <c r="X73" s="47"/>
      <c r="Y73" s="37" t="s">
        <v>1139</v>
      </c>
      <c r="Z73" s="47">
        <v>2014.1</v>
      </c>
      <c r="AA73" s="47">
        <v>2022.12</v>
      </c>
      <c r="AB73" s="47" t="s">
        <v>1140</v>
      </c>
      <c r="AC73" s="47"/>
      <c r="AD73" s="47"/>
      <c r="AE73" s="47"/>
      <c r="AF73" s="28" t="s">
        <v>208</v>
      </c>
      <c r="AG73" s="37" t="s">
        <v>587</v>
      </c>
      <c r="AH73" s="28"/>
      <c r="AI73" s="47">
        <v>1999.9</v>
      </c>
      <c r="AJ73" s="47">
        <v>2002.7</v>
      </c>
      <c r="AK73" s="47"/>
      <c r="AL73" s="47"/>
      <c r="AM73" s="47"/>
      <c r="AN73" s="111" t="s">
        <v>99</v>
      </c>
      <c r="AO73" s="58" t="s">
        <v>1138</v>
      </c>
      <c r="AP73" s="47" t="s">
        <v>176</v>
      </c>
      <c r="AQ73" s="103" t="s">
        <v>1141</v>
      </c>
      <c r="AR73" s="47" t="s">
        <v>102</v>
      </c>
      <c r="AS73" s="47">
        <v>41</v>
      </c>
      <c r="AT73" s="47" t="s">
        <v>178</v>
      </c>
      <c r="AU73" s="47" t="s">
        <v>1141</v>
      </c>
      <c r="AV73" s="47" t="s">
        <v>104</v>
      </c>
      <c r="AW73" s="28">
        <v>13797899575</v>
      </c>
      <c r="AX73" s="175" t="s">
        <v>604</v>
      </c>
      <c r="AY73" s="47">
        <v>0</v>
      </c>
      <c r="AZ73" s="122">
        <v>45413</v>
      </c>
      <c r="BA73" s="123">
        <v>45777</v>
      </c>
      <c r="BB73" s="47" t="s">
        <v>106</v>
      </c>
      <c r="BC73" s="47"/>
      <c r="BD73" s="47"/>
      <c r="BE73" s="47"/>
      <c r="BF73" s="37"/>
      <c r="BG73" s="47"/>
      <c r="BH73" s="37"/>
      <c r="BI73" s="37"/>
      <c r="BJ73" s="37"/>
      <c r="BK73" s="47"/>
      <c r="BL73" s="268" t="s">
        <v>1142</v>
      </c>
      <c r="BM73" s="47" t="s">
        <v>109</v>
      </c>
      <c r="BN73" s="37" t="s">
        <v>110</v>
      </c>
      <c r="BO73" s="47">
        <v>2024.5</v>
      </c>
      <c r="BP73" s="58"/>
      <c r="BQ73" s="37"/>
      <c r="BR73" s="47">
        <v>2024.5</v>
      </c>
      <c r="BS73" s="47" t="s">
        <v>111</v>
      </c>
      <c r="BT73" s="47"/>
      <c r="BU73" s="206" t="s">
        <v>353</v>
      </c>
      <c r="BV73" s="47"/>
      <c r="BW73" s="47"/>
      <c r="BX73" s="180">
        <v>45413</v>
      </c>
      <c r="BY73" s="197">
        <v>1983</v>
      </c>
      <c r="BZ73" s="47">
        <v>12</v>
      </c>
      <c r="CA73" s="47">
        <v>6</v>
      </c>
    </row>
    <row r="74" s="103" customFormat="1" ht="31" customHeight="1" spans="1:79">
      <c r="A74" s="47">
        <v>73</v>
      </c>
      <c r="B74" s="47" t="s">
        <v>1143</v>
      </c>
      <c r="C74" s="111" t="s">
        <v>1144</v>
      </c>
      <c r="D74" s="111" t="str">
        <f t="shared" si="8"/>
        <v>女</v>
      </c>
      <c r="E74" s="47" t="s">
        <v>81</v>
      </c>
      <c r="F74" s="47" t="s">
        <v>144</v>
      </c>
      <c r="G74" s="117" t="s">
        <v>114</v>
      </c>
      <c r="H74" s="18">
        <v>45369</v>
      </c>
      <c r="I74" s="111">
        <v>15871988462</v>
      </c>
      <c r="J74" s="265" t="s">
        <v>1145</v>
      </c>
      <c r="K74" s="28" t="s">
        <v>116</v>
      </c>
      <c r="L74" s="58" t="s">
        <v>1146</v>
      </c>
      <c r="M74" s="47" t="s">
        <v>149</v>
      </c>
      <c r="N74" s="58" t="s">
        <v>1147</v>
      </c>
      <c r="O74" s="32" t="str">
        <f t="shared" ref="O74:O101" si="10">TEXT(MID(J74,7,8),"0-00-00")</f>
        <v>1982-05-21</v>
      </c>
      <c r="P74" s="34">
        <f ca="1" t="shared" si="9"/>
        <v>44</v>
      </c>
      <c r="Q74" s="47">
        <f ca="1" t="shared" si="7"/>
        <v>2</v>
      </c>
      <c r="R74" s="28" t="s">
        <v>88</v>
      </c>
      <c r="S74" s="47" t="s">
        <v>89</v>
      </c>
      <c r="T74" s="28" t="s">
        <v>90</v>
      </c>
      <c r="U74" s="47" t="s">
        <v>91</v>
      </c>
      <c r="V74" s="47" t="s">
        <v>92</v>
      </c>
      <c r="W74" s="47"/>
      <c r="X74" s="47"/>
      <c r="Y74" s="37" t="s">
        <v>1148</v>
      </c>
      <c r="Z74" s="47">
        <v>2021</v>
      </c>
      <c r="AA74" s="47">
        <v>2024.3</v>
      </c>
      <c r="AB74" s="47" t="s">
        <v>683</v>
      </c>
      <c r="AC74" s="47"/>
      <c r="AD74" s="47"/>
      <c r="AE74" s="47">
        <v>15972667228</v>
      </c>
      <c r="AF74" s="28" t="s">
        <v>122</v>
      </c>
      <c r="AG74" s="37"/>
      <c r="AH74" s="28"/>
      <c r="AI74" s="47"/>
      <c r="AJ74" s="47"/>
      <c r="AK74" s="47"/>
      <c r="AL74" s="47"/>
      <c r="AM74" s="47"/>
      <c r="AN74" s="111" t="s">
        <v>99</v>
      </c>
      <c r="AO74" s="58" t="s">
        <v>1147</v>
      </c>
      <c r="AP74" s="47" t="s">
        <v>176</v>
      </c>
      <c r="AQ74" s="47" t="s">
        <v>1149</v>
      </c>
      <c r="AR74" s="47" t="s">
        <v>102</v>
      </c>
      <c r="AS74" s="47">
        <v>48</v>
      </c>
      <c r="AT74" s="47" t="s">
        <v>178</v>
      </c>
      <c r="AU74" s="47" t="s">
        <v>1149</v>
      </c>
      <c r="AV74" s="47" t="s">
        <v>104</v>
      </c>
      <c r="AW74" s="28">
        <v>13972884949</v>
      </c>
      <c r="AX74" s="175" t="s">
        <v>351</v>
      </c>
      <c r="AY74" s="47">
        <v>0</v>
      </c>
      <c r="AZ74" s="122">
        <v>45461</v>
      </c>
      <c r="BA74" s="123">
        <v>45825</v>
      </c>
      <c r="BB74" s="47" t="s">
        <v>128</v>
      </c>
      <c r="BC74" s="47" t="s">
        <v>480</v>
      </c>
      <c r="BD74" s="47"/>
      <c r="BE74" s="47"/>
      <c r="BF74" s="37"/>
      <c r="BG74" s="47"/>
      <c r="BH74" s="37"/>
      <c r="BI74" s="37"/>
      <c r="BJ74" s="37"/>
      <c r="BK74" s="47"/>
      <c r="BL74" s="268" t="s">
        <v>1150</v>
      </c>
      <c r="BM74" s="47" t="s">
        <v>109</v>
      </c>
      <c r="BN74" s="37" t="s">
        <v>110</v>
      </c>
      <c r="BO74" s="197">
        <v>2024.7</v>
      </c>
      <c r="BP74" s="58"/>
      <c r="BQ74" s="37"/>
      <c r="BR74" s="197">
        <v>2024.7</v>
      </c>
      <c r="BS74" s="47" t="s">
        <v>111</v>
      </c>
      <c r="BT74" s="47"/>
      <c r="BU74" s="206" t="s">
        <v>353</v>
      </c>
      <c r="BV74" s="47"/>
      <c r="BW74" s="47"/>
      <c r="BX74" s="207">
        <v>45461</v>
      </c>
      <c r="BY74" s="197">
        <v>1982</v>
      </c>
      <c r="BZ74" s="47">
        <v>5</v>
      </c>
      <c r="CA74" s="47">
        <v>21</v>
      </c>
    </row>
    <row r="75" s="103" customFormat="1" ht="31" customHeight="1" spans="1:79">
      <c r="A75" s="47">
        <v>74</v>
      </c>
      <c r="B75" s="47" t="s">
        <v>1151</v>
      </c>
      <c r="C75" s="111" t="s">
        <v>1152</v>
      </c>
      <c r="D75" s="111" t="str">
        <f t="shared" si="8"/>
        <v>男</v>
      </c>
      <c r="E75" s="47" t="s">
        <v>81</v>
      </c>
      <c r="F75" s="47" t="s">
        <v>144</v>
      </c>
      <c r="G75" s="117" t="s">
        <v>1153</v>
      </c>
      <c r="H75" s="122">
        <v>45544</v>
      </c>
      <c r="I75" s="111">
        <v>18913087894</v>
      </c>
      <c r="J75" s="111" t="s">
        <v>1154</v>
      </c>
      <c r="K75" s="111" t="s">
        <v>1155</v>
      </c>
      <c r="L75" s="58" t="s">
        <v>1156</v>
      </c>
      <c r="M75" s="47" t="s">
        <v>149</v>
      </c>
      <c r="N75" s="37" t="s">
        <v>144</v>
      </c>
      <c r="O75" s="32" t="str">
        <f t="shared" si="10"/>
        <v>1998-05-13</v>
      </c>
      <c r="P75" s="34">
        <f ca="1" t="shared" si="9"/>
        <v>28</v>
      </c>
      <c r="Q75" s="47">
        <f ca="1" t="shared" si="7"/>
        <v>1</v>
      </c>
      <c r="R75" s="28" t="s">
        <v>88</v>
      </c>
      <c r="S75" s="47" t="s">
        <v>89</v>
      </c>
      <c r="T75" s="28" t="s">
        <v>90</v>
      </c>
      <c r="U75" s="47" t="s">
        <v>91</v>
      </c>
      <c r="V75" s="47" t="s">
        <v>92</v>
      </c>
      <c r="W75" s="47"/>
      <c r="X75" s="47"/>
      <c r="Y75" s="37" t="s">
        <v>1157</v>
      </c>
      <c r="Z75" s="47">
        <v>2019</v>
      </c>
      <c r="AA75" s="47">
        <v>2020</v>
      </c>
      <c r="AB75" s="47" t="s">
        <v>499</v>
      </c>
      <c r="AC75" s="47"/>
      <c r="AD75" s="47" t="s">
        <v>1158</v>
      </c>
      <c r="AE75" s="47">
        <v>13849160533</v>
      </c>
      <c r="AF75" s="111" t="s">
        <v>96</v>
      </c>
      <c r="AG75" s="37" t="s">
        <v>1159</v>
      </c>
      <c r="AH75" s="111">
        <v>2013.9</v>
      </c>
      <c r="AI75" s="47">
        <v>2015.7</v>
      </c>
      <c r="AJ75" s="47"/>
      <c r="AK75" s="47"/>
      <c r="AL75" s="47"/>
      <c r="AM75" s="47"/>
      <c r="AN75" s="111" t="s">
        <v>194</v>
      </c>
      <c r="AO75" s="37" t="s">
        <v>1156</v>
      </c>
      <c r="AP75" s="37" t="s">
        <v>100</v>
      </c>
      <c r="AQ75" s="47" t="s">
        <v>1160</v>
      </c>
      <c r="AR75" s="47" t="s">
        <v>102</v>
      </c>
      <c r="AS75" s="47">
        <v>48</v>
      </c>
      <c r="AT75" s="47" t="s">
        <v>883</v>
      </c>
      <c r="AU75" s="47" t="s">
        <v>1160</v>
      </c>
      <c r="AV75" s="47" t="s">
        <v>393</v>
      </c>
      <c r="AW75" s="111">
        <v>18255038858</v>
      </c>
      <c r="AX75" s="37" t="s">
        <v>1161</v>
      </c>
      <c r="AY75" s="47">
        <v>0</v>
      </c>
      <c r="AZ75" s="122">
        <v>45544</v>
      </c>
      <c r="BA75" s="123">
        <v>45908</v>
      </c>
      <c r="BB75" s="47" t="s">
        <v>106</v>
      </c>
      <c r="BC75" s="47"/>
      <c r="BD75" s="47"/>
      <c r="BE75" s="123"/>
      <c r="BF75" s="37"/>
      <c r="BG75" s="47"/>
      <c r="BH75" s="37" t="s">
        <v>1162</v>
      </c>
      <c r="BI75" s="37"/>
      <c r="BJ75" s="37"/>
      <c r="BK75" s="47"/>
      <c r="BL75" s="268" t="s">
        <v>1163</v>
      </c>
      <c r="BM75" s="47" t="s">
        <v>109</v>
      </c>
      <c r="BN75" s="37" t="s">
        <v>110</v>
      </c>
      <c r="BO75" s="47">
        <v>2024.9</v>
      </c>
      <c r="BP75" s="58" t="s">
        <v>1164</v>
      </c>
      <c r="BQ75" s="269" t="s">
        <v>1165</v>
      </c>
      <c r="BR75" s="47">
        <v>2024.9</v>
      </c>
      <c r="BS75" s="47" t="s">
        <v>111</v>
      </c>
      <c r="BT75" s="47">
        <v>506</v>
      </c>
      <c r="BU75" s="206" t="s">
        <v>164</v>
      </c>
      <c r="BV75" s="47"/>
      <c r="BW75" s="47"/>
      <c r="BX75" s="207">
        <v>45544</v>
      </c>
      <c r="BY75" s="197">
        <v>1998</v>
      </c>
      <c r="BZ75" s="47">
        <v>5</v>
      </c>
      <c r="CA75" s="47">
        <v>13</v>
      </c>
    </row>
    <row r="76" s="103" customFormat="1" ht="31" customHeight="1" spans="1:79">
      <c r="A76" s="47">
        <v>75</v>
      </c>
      <c r="B76" s="47" t="s">
        <v>1166</v>
      </c>
      <c r="C76" s="111" t="s">
        <v>1167</v>
      </c>
      <c r="D76" s="111" t="str">
        <f t="shared" si="8"/>
        <v>女</v>
      </c>
      <c r="E76" s="47" t="s">
        <v>398</v>
      </c>
      <c r="F76" s="47" t="s">
        <v>144</v>
      </c>
      <c r="G76" s="117" t="s">
        <v>1168</v>
      </c>
      <c r="H76" s="18">
        <v>43248</v>
      </c>
      <c r="I76" s="111">
        <v>18971843273</v>
      </c>
      <c r="J76" s="27" t="s">
        <v>1169</v>
      </c>
      <c r="K76" s="28" t="s">
        <v>1170</v>
      </c>
      <c r="L76" s="28" t="s">
        <v>1171</v>
      </c>
      <c r="M76" s="47" t="s">
        <v>149</v>
      </c>
      <c r="N76" s="28" t="s">
        <v>1171</v>
      </c>
      <c r="O76" s="32" t="str">
        <f t="shared" si="10"/>
        <v>1964-12-23</v>
      </c>
      <c r="P76" s="34">
        <f ca="1" t="shared" si="9"/>
        <v>62</v>
      </c>
      <c r="Q76" s="47">
        <f ca="1" t="shared" si="7"/>
        <v>8</v>
      </c>
      <c r="R76" s="28" t="s">
        <v>88</v>
      </c>
      <c r="S76" s="47" t="s">
        <v>245</v>
      </c>
      <c r="T76" s="58" t="s">
        <v>150</v>
      </c>
      <c r="U76" s="47" t="s">
        <v>91</v>
      </c>
      <c r="V76" s="47" t="s">
        <v>92</v>
      </c>
      <c r="W76" s="47" t="s">
        <v>151</v>
      </c>
      <c r="X76" s="47"/>
      <c r="Y76" s="37" t="s">
        <v>1172</v>
      </c>
      <c r="Z76" s="47">
        <v>1994.8</v>
      </c>
      <c r="AA76" s="47">
        <v>2018.5</v>
      </c>
      <c r="AB76" s="47" t="s">
        <v>1173</v>
      </c>
      <c r="AC76" s="47"/>
      <c r="AD76" s="47"/>
      <c r="AE76" s="47"/>
      <c r="AF76" s="111" t="s">
        <v>406</v>
      </c>
      <c r="AG76" s="37" t="s">
        <v>1174</v>
      </c>
      <c r="AH76" s="28" t="s">
        <v>1175</v>
      </c>
      <c r="AI76" s="47">
        <v>1990.8</v>
      </c>
      <c r="AJ76" s="47">
        <v>1994.7</v>
      </c>
      <c r="AK76" s="47"/>
      <c r="AL76" s="47"/>
      <c r="AM76" s="47"/>
      <c r="AN76" s="111" t="s">
        <v>99</v>
      </c>
      <c r="AO76" s="28" t="s">
        <v>1171</v>
      </c>
      <c r="AP76" s="37" t="s">
        <v>176</v>
      </c>
      <c r="AQ76" s="47" t="s">
        <v>1176</v>
      </c>
      <c r="AR76" s="47" t="s">
        <v>102</v>
      </c>
      <c r="AS76" s="47">
        <v>45</v>
      </c>
      <c r="AT76" s="47" t="s">
        <v>178</v>
      </c>
      <c r="AU76" s="47" t="s">
        <v>1176</v>
      </c>
      <c r="AV76" s="47" t="s">
        <v>104</v>
      </c>
      <c r="AW76" s="28">
        <v>13117067075</v>
      </c>
      <c r="AX76" s="37" t="s">
        <v>1177</v>
      </c>
      <c r="AY76" s="47">
        <v>5</v>
      </c>
      <c r="AZ76" s="50">
        <v>43339</v>
      </c>
      <c r="BA76" s="123">
        <v>45804</v>
      </c>
      <c r="BB76" s="47" t="s">
        <v>106</v>
      </c>
      <c r="BC76" s="47"/>
      <c r="BD76" s="47"/>
      <c r="BE76" s="47"/>
      <c r="BF76" s="37"/>
      <c r="BG76" s="47"/>
      <c r="BH76" s="37" t="s">
        <v>1178</v>
      </c>
      <c r="BI76" s="37"/>
      <c r="BJ76" s="37"/>
      <c r="BK76" s="47"/>
      <c r="BL76" s="268" t="s">
        <v>1179</v>
      </c>
      <c r="BM76" s="47"/>
      <c r="BN76" s="47"/>
      <c r="BO76" s="47"/>
      <c r="BP76" s="58"/>
      <c r="BQ76" s="37"/>
      <c r="BR76" s="47"/>
      <c r="BS76" s="47" t="s">
        <v>111</v>
      </c>
      <c r="BT76" s="47"/>
      <c r="BU76" s="206" t="s">
        <v>164</v>
      </c>
      <c r="BV76" s="47"/>
      <c r="BW76" s="47"/>
      <c r="BX76" s="200">
        <v>43339</v>
      </c>
      <c r="BY76" s="197">
        <v>1964</v>
      </c>
      <c r="BZ76" s="47">
        <v>12</v>
      </c>
      <c r="CA76" s="47">
        <v>23</v>
      </c>
    </row>
    <row r="77" s="103" customFormat="1" ht="31" customHeight="1" spans="1:79">
      <c r="A77" s="47">
        <v>76</v>
      </c>
      <c r="B77" s="47" t="s">
        <v>1180</v>
      </c>
      <c r="C77" s="58" t="s">
        <v>1181</v>
      </c>
      <c r="D77" s="111" t="str">
        <f t="shared" si="8"/>
        <v>女</v>
      </c>
      <c r="E77" s="47" t="s">
        <v>398</v>
      </c>
      <c r="F77" s="47" t="s">
        <v>144</v>
      </c>
      <c r="G77" s="124" t="s">
        <v>1182</v>
      </c>
      <c r="H77" s="18">
        <v>42424</v>
      </c>
      <c r="I77" s="130">
        <v>13477352590</v>
      </c>
      <c r="J77" s="27" t="s">
        <v>1183</v>
      </c>
      <c r="K77" s="28" t="s">
        <v>224</v>
      </c>
      <c r="L77" s="28" t="s">
        <v>1184</v>
      </c>
      <c r="M77" s="47" t="s">
        <v>282</v>
      </c>
      <c r="N77" s="28" t="s">
        <v>1185</v>
      </c>
      <c r="O77" s="32" t="str">
        <f t="shared" si="10"/>
        <v>1985-03-20</v>
      </c>
      <c r="P77" s="34">
        <f ca="1" t="shared" si="9"/>
        <v>41</v>
      </c>
      <c r="Q77" s="47">
        <f ca="1" t="shared" si="7"/>
        <v>10</v>
      </c>
      <c r="R77" s="28" t="s">
        <v>88</v>
      </c>
      <c r="S77" s="47" t="s">
        <v>89</v>
      </c>
      <c r="T77" s="28" t="s">
        <v>90</v>
      </c>
      <c r="U77" s="47" t="s">
        <v>91</v>
      </c>
      <c r="V77" s="47" t="s">
        <v>92</v>
      </c>
      <c r="W77" s="47"/>
      <c r="X77" s="47"/>
      <c r="Y77" s="37" t="s">
        <v>1172</v>
      </c>
      <c r="Z77" s="47">
        <v>2010.12</v>
      </c>
      <c r="AA77" s="47">
        <v>2016.2</v>
      </c>
      <c r="AB77" s="47" t="s">
        <v>1186</v>
      </c>
      <c r="AC77" s="47"/>
      <c r="AD77" s="47" t="s">
        <v>1187</v>
      </c>
      <c r="AE77" s="47">
        <v>15907265315</v>
      </c>
      <c r="AF77" s="158" t="s">
        <v>406</v>
      </c>
      <c r="AG77" s="37" t="s">
        <v>1188</v>
      </c>
      <c r="AH77" s="158" t="s">
        <v>1189</v>
      </c>
      <c r="AI77" s="47">
        <v>2004.9</v>
      </c>
      <c r="AJ77" s="47">
        <v>2008.6</v>
      </c>
      <c r="AK77" s="47"/>
      <c r="AL77" s="47" t="s">
        <v>1190</v>
      </c>
      <c r="AM77" s="47"/>
      <c r="AN77" s="111" t="s">
        <v>99</v>
      </c>
      <c r="AO77" s="28" t="s">
        <v>1185</v>
      </c>
      <c r="AP77" s="37" t="s">
        <v>176</v>
      </c>
      <c r="AQ77" s="47" t="s">
        <v>1191</v>
      </c>
      <c r="AR77" s="47" t="s">
        <v>102</v>
      </c>
      <c r="AS77" s="47">
        <v>39</v>
      </c>
      <c r="AT77" s="47" t="s">
        <v>178</v>
      </c>
      <c r="AU77" s="47" t="s">
        <v>1192</v>
      </c>
      <c r="AV77" s="47" t="s">
        <v>347</v>
      </c>
      <c r="AW77" s="28">
        <v>13627157368</v>
      </c>
      <c r="AX77" s="37" t="s">
        <v>428</v>
      </c>
      <c r="AY77" s="47">
        <v>5</v>
      </c>
      <c r="AZ77" s="50">
        <v>42513</v>
      </c>
      <c r="BA77" s="123">
        <v>46112</v>
      </c>
      <c r="BB77" s="47" t="s">
        <v>106</v>
      </c>
      <c r="BC77" s="47"/>
      <c r="BD77" s="47"/>
      <c r="BE77" s="47"/>
      <c r="BF77" s="37"/>
      <c r="BG77" s="47"/>
      <c r="BH77" s="37" t="s">
        <v>1193</v>
      </c>
      <c r="BI77" s="37"/>
      <c r="BJ77" s="37"/>
      <c r="BK77" s="47"/>
      <c r="BL77" s="268" t="s">
        <v>1194</v>
      </c>
      <c r="BM77" s="47" t="s">
        <v>109</v>
      </c>
      <c r="BN77" s="37" t="s">
        <v>110</v>
      </c>
      <c r="BO77" s="47">
        <v>2016.7</v>
      </c>
      <c r="BP77" s="58" t="s">
        <v>1195</v>
      </c>
      <c r="BQ77" s="269" t="s">
        <v>1196</v>
      </c>
      <c r="BR77" s="47">
        <v>2016.7</v>
      </c>
      <c r="BS77" s="47" t="s">
        <v>111</v>
      </c>
      <c r="BT77" s="47"/>
      <c r="BU77" s="206" t="s">
        <v>164</v>
      </c>
      <c r="BV77" s="47"/>
      <c r="BW77" s="47"/>
      <c r="BX77" s="200">
        <v>42513</v>
      </c>
      <c r="BY77" s="197">
        <v>1985</v>
      </c>
      <c r="BZ77" s="47">
        <v>3</v>
      </c>
      <c r="CA77" s="47">
        <v>20</v>
      </c>
    </row>
    <row r="78" s="103" customFormat="1" ht="31" customHeight="1" spans="1:79">
      <c r="A78" s="47">
        <v>77</v>
      </c>
      <c r="B78" s="47" t="s">
        <v>1197</v>
      </c>
      <c r="C78" s="111" t="s">
        <v>1198</v>
      </c>
      <c r="D78" s="111" t="str">
        <f t="shared" si="8"/>
        <v>女</v>
      </c>
      <c r="E78" s="47" t="s">
        <v>398</v>
      </c>
      <c r="F78" s="47" t="s">
        <v>144</v>
      </c>
      <c r="G78" s="124" t="s">
        <v>399</v>
      </c>
      <c r="H78" s="18">
        <v>44091</v>
      </c>
      <c r="I78" s="139" t="s">
        <v>1199</v>
      </c>
      <c r="J78" s="265" t="s">
        <v>1200</v>
      </c>
      <c r="K78" s="28" t="s">
        <v>85</v>
      </c>
      <c r="L78" s="58" t="s">
        <v>1201</v>
      </c>
      <c r="M78" s="47" t="s">
        <v>149</v>
      </c>
      <c r="N78" s="58" t="s">
        <v>1201</v>
      </c>
      <c r="O78" s="32" t="str">
        <f t="shared" si="10"/>
        <v>1984-02-15</v>
      </c>
      <c r="P78" s="34">
        <f ca="1" t="shared" si="9"/>
        <v>42</v>
      </c>
      <c r="Q78" s="47">
        <f ca="1" t="shared" si="7"/>
        <v>5</v>
      </c>
      <c r="R78" s="28" t="s">
        <v>88</v>
      </c>
      <c r="S78" s="47" t="s">
        <v>89</v>
      </c>
      <c r="T78" s="28" t="s">
        <v>90</v>
      </c>
      <c r="U78" s="47" t="s">
        <v>91</v>
      </c>
      <c r="V78" s="47" t="s">
        <v>92</v>
      </c>
      <c r="W78" s="47"/>
      <c r="X78" s="47"/>
      <c r="Y78" s="37" t="s">
        <v>1202</v>
      </c>
      <c r="Z78" s="47">
        <v>2019.4</v>
      </c>
      <c r="AA78" s="47">
        <v>2019.7</v>
      </c>
      <c r="AB78" s="47" t="s">
        <v>1203</v>
      </c>
      <c r="AC78" s="47"/>
      <c r="AD78" s="47"/>
      <c r="AE78" s="47"/>
      <c r="AF78" s="28" t="s">
        <v>96</v>
      </c>
      <c r="AG78" s="37" t="s">
        <v>1204</v>
      </c>
      <c r="AH78" s="28"/>
      <c r="AI78" s="47">
        <v>1999.9</v>
      </c>
      <c r="AJ78" s="47">
        <v>2002.7</v>
      </c>
      <c r="AK78" s="47"/>
      <c r="AL78" s="47"/>
      <c r="AM78" s="47"/>
      <c r="AN78" s="111" t="s">
        <v>99</v>
      </c>
      <c r="AO78" s="58" t="s">
        <v>1201</v>
      </c>
      <c r="AP78" s="37" t="s">
        <v>176</v>
      </c>
      <c r="AQ78" s="47" t="s">
        <v>1205</v>
      </c>
      <c r="AR78" s="47" t="s">
        <v>102</v>
      </c>
      <c r="AS78" s="47">
        <v>42</v>
      </c>
      <c r="AT78" s="47" t="s">
        <v>445</v>
      </c>
      <c r="AU78" s="47" t="s">
        <v>1205</v>
      </c>
      <c r="AV78" s="47" t="s">
        <v>104</v>
      </c>
      <c r="AW78" s="28">
        <v>13618953191</v>
      </c>
      <c r="AX78" s="37" t="s">
        <v>936</v>
      </c>
      <c r="AY78" s="47">
        <v>3</v>
      </c>
      <c r="AZ78" s="50">
        <v>44166</v>
      </c>
      <c r="BA78" s="123">
        <v>46356</v>
      </c>
      <c r="BB78" s="47" t="s">
        <v>106</v>
      </c>
      <c r="BC78" s="47"/>
      <c r="BD78" s="47"/>
      <c r="BE78" s="47"/>
      <c r="BF78" s="37"/>
      <c r="BG78" s="47"/>
      <c r="BH78" s="37" t="s">
        <v>1206</v>
      </c>
      <c r="BI78" s="37"/>
      <c r="BJ78" s="37"/>
      <c r="BK78" s="47"/>
      <c r="BL78" s="268" t="s">
        <v>1207</v>
      </c>
      <c r="BM78" s="47" t="s">
        <v>109</v>
      </c>
      <c r="BN78" s="37" t="s">
        <v>110</v>
      </c>
      <c r="BO78" s="47">
        <v>2020.12</v>
      </c>
      <c r="BP78" s="58" t="s">
        <v>1208</v>
      </c>
      <c r="BQ78" s="269" t="s">
        <v>1209</v>
      </c>
      <c r="BR78" s="47">
        <v>2020.12</v>
      </c>
      <c r="BS78" s="47" t="s">
        <v>111</v>
      </c>
      <c r="BT78" s="47"/>
      <c r="BU78" s="206" t="s">
        <v>164</v>
      </c>
      <c r="BV78" s="47"/>
      <c r="BW78" s="47"/>
      <c r="BX78" s="200">
        <v>44166</v>
      </c>
      <c r="BY78" s="197">
        <v>1984</v>
      </c>
      <c r="BZ78" s="47">
        <v>2</v>
      </c>
      <c r="CA78" s="47">
        <v>15</v>
      </c>
    </row>
    <row r="79" s="103" customFormat="1" ht="31" customHeight="1" spans="1:79">
      <c r="A79" s="47">
        <v>78</v>
      </c>
      <c r="B79" s="47" t="s">
        <v>1210</v>
      </c>
      <c r="C79" s="111" t="s">
        <v>1211</v>
      </c>
      <c r="D79" s="111" t="str">
        <f t="shared" si="8"/>
        <v>女</v>
      </c>
      <c r="E79" s="47" t="s">
        <v>398</v>
      </c>
      <c r="F79" s="47" t="s">
        <v>144</v>
      </c>
      <c r="G79" s="37" t="s">
        <v>399</v>
      </c>
      <c r="H79" s="122">
        <v>44379</v>
      </c>
      <c r="I79" s="111">
        <v>15527238623</v>
      </c>
      <c r="J79" s="265" t="s">
        <v>1212</v>
      </c>
      <c r="K79" s="111" t="s">
        <v>116</v>
      </c>
      <c r="L79" s="58" t="s">
        <v>1213</v>
      </c>
      <c r="M79" s="47" t="s">
        <v>149</v>
      </c>
      <c r="N79" s="58" t="s">
        <v>520</v>
      </c>
      <c r="O79" s="32" t="str">
        <f t="shared" si="10"/>
        <v>1984-09-29</v>
      </c>
      <c r="P79" s="34">
        <f ca="1" t="shared" si="9"/>
        <v>42</v>
      </c>
      <c r="Q79" s="47">
        <f ca="1" t="shared" si="7"/>
        <v>4</v>
      </c>
      <c r="R79" s="28" t="s">
        <v>88</v>
      </c>
      <c r="S79" s="47" t="s">
        <v>89</v>
      </c>
      <c r="T79" s="111" t="s">
        <v>90</v>
      </c>
      <c r="U79" s="47" t="s">
        <v>91</v>
      </c>
      <c r="V79" s="47" t="s">
        <v>92</v>
      </c>
      <c r="W79" s="47"/>
      <c r="X79" s="47"/>
      <c r="Y79" s="37" t="s">
        <v>1214</v>
      </c>
      <c r="Z79" s="47">
        <v>2021.3</v>
      </c>
      <c r="AA79" s="47">
        <v>2021.6</v>
      </c>
      <c r="AB79" s="47" t="s">
        <v>1215</v>
      </c>
      <c r="AC79" s="47"/>
      <c r="AD79" s="47" t="s">
        <v>1216</v>
      </c>
      <c r="AE79" s="47">
        <v>13972864767</v>
      </c>
      <c r="AF79" s="111" t="s">
        <v>96</v>
      </c>
      <c r="AG79" s="37" t="s">
        <v>587</v>
      </c>
      <c r="AH79" s="28" t="s">
        <v>1217</v>
      </c>
      <c r="AI79" s="47">
        <v>2000.9</v>
      </c>
      <c r="AJ79" s="47">
        <v>2023.6</v>
      </c>
      <c r="AK79" s="47"/>
      <c r="AL79" s="47"/>
      <c r="AM79" s="47"/>
      <c r="AN79" s="111" t="s">
        <v>99</v>
      </c>
      <c r="AO79" s="58" t="s">
        <v>520</v>
      </c>
      <c r="AP79" s="37" t="s">
        <v>176</v>
      </c>
      <c r="AQ79" s="47" t="s">
        <v>1218</v>
      </c>
      <c r="AR79" s="47" t="s">
        <v>102</v>
      </c>
      <c r="AS79" s="47">
        <v>43</v>
      </c>
      <c r="AT79" s="47" t="s">
        <v>178</v>
      </c>
      <c r="AU79" s="47" t="s">
        <v>1219</v>
      </c>
      <c r="AV79" s="47" t="s">
        <v>350</v>
      </c>
      <c r="AW79" s="214">
        <v>13451198876</v>
      </c>
      <c r="AX79" s="37" t="s">
        <v>448</v>
      </c>
      <c r="AY79" s="47">
        <v>3</v>
      </c>
      <c r="AZ79" s="122">
        <v>44379</v>
      </c>
      <c r="BA79" s="123">
        <v>45839</v>
      </c>
      <c r="BB79" s="47" t="s">
        <v>106</v>
      </c>
      <c r="BC79" s="47"/>
      <c r="BD79" s="47"/>
      <c r="BE79" s="47"/>
      <c r="BF79" s="37"/>
      <c r="BG79" s="47"/>
      <c r="BH79" s="37" t="s">
        <v>1220</v>
      </c>
      <c r="BI79" s="37"/>
      <c r="BJ79" s="37"/>
      <c r="BK79" s="47"/>
      <c r="BL79" s="268" t="s">
        <v>1221</v>
      </c>
      <c r="BM79" s="47" t="s">
        <v>109</v>
      </c>
      <c r="BN79" s="37" t="s">
        <v>110</v>
      </c>
      <c r="BO79" s="65">
        <v>2021.1</v>
      </c>
      <c r="BP79" s="58" t="s">
        <v>1222</v>
      </c>
      <c r="BQ79" s="37" t="s">
        <v>1223</v>
      </c>
      <c r="BR79" s="65">
        <v>2021.1</v>
      </c>
      <c r="BS79" s="47" t="s">
        <v>111</v>
      </c>
      <c r="BT79" s="47"/>
      <c r="BU79" s="206" t="s">
        <v>164</v>
      </c>
      <c r="BV79" s="47"/>
      <c r="BW79" s="47"/>
      <c r="BX79" s="207">
        <v>44470</v>
      </c>
      <c r="BY79" s="197">
        <v>1984</v>
      </c>
      <c r="BZ79" s="47">
        <v>9</v>
      </c>
      <c r="CA79" s="47">
        <v>29</v>
      </c>
    </row>
    <row r="80" s="103" customFormat="1" ht="31" customHeight="1" spans="1:79">
      <c r="A80" s="47">
        <v>79</v>
      </c>
      <c r="B80" s="47" t="s">
        <v>1224</v>
      </c>
      <c r="C80" s="111" t="s">
        <v>1225</v>
      </c>
      <c r="D80" s="111" t="str">
        <f t="shared" si="8"/>
        <v>女</v>
      </c>
      <c r="E80" s="47" t="s">
        <v>398</v>
      </c>
      <c r="F80" s="47" t="s">
        <v>144</v>
      </c>
      <c r="G80" s="37" t="s">
        <v>399</v>
      </c>
      <c r="H80" s="122">
        <v>44379</v>
      </c>
      <c r="I80" s="111">
        <v>13477570879</v>
      </c>
      <c r="J80" s="265" t="s">
        <v>1226</v>
      </c>
      <c r="K80" s="111" t="s">
        <v>116</v>
      </c>
      <c r="L80" s="58" t="s">
        <v>1227</v>
      </c>
      <c r="M80" s="47" t="s">
        <v>149</v>
      </c>
      <c r="N80" s="58" t="s">
        <v>1228</v>
      </c>
      <c r="O80" s="32" t="str">
        <f t="shared" si="10"/>
        <v>1983-05-02</v>
      </c>
      <c r="P80" s="34">
        <f ca="1" t="shared" si="9"/>
        <v>43</v>
      </c>
      <c r="Q80" s="47">
        <f ca="1" t="shared" si="7"/>
        <v>4</v>
      </c>
      <c r="R80" s="28" t="s">
        <v>88</v>
      </c>
      <c r="S80" s="47" t="s">
        <v>89</v>
      </c>
      <c r="T80" s="111" t="s">
        <v>90</v>
      </c>
      <c r="U80" s="47" t="s">
        <v>91</v>
      </c>
      <c r="V80" s="47" t="s">
        <v>92</v>
      </c>
      <c r="W80" s="47"/>
      <c r="X80" s="47"/>
      <c r="Y80" s="37" t="s">
        <v>1214</v>
      </c>
      <c r="Z80" s="47">
        <v>2020.9</v>
      </c>
      <c r="AA80" s="47">
        <v>2021.6</v>
      </c>
      <c r="AB80" s="47" t="s">
        <v>1215</v>
      </c>
      <c r="AC80" s="47"/>
      <c r="AD80" s="47"/>
      <c r="AE80" s="47">
        <v>15957609062</v>
      </c>
      <c r="AF80" s="111" t="s">
        <v>96</v>
      </c>
      <c r="AG80" s="37" t="s">
        <v>97</v>
      </c>
      <c r="AH80" s="28"/>
      <c r="AI80" s="47">
        <v>2000.9</v>
      </c>
      <c r="AJ80" s="47">
        <v>2023.6</v>
      </c>
      <c r="AK80" s="47"/>
      <c r="AL80" s="47"/>
      <c r="AM80" s="47"/>
      <c r="AN80" s="111" t="s">
        <v>99</v>
      </c>
      <c r="AO80" s="58" t="s">
        <v>1228</v>
      </c>
      <c r="AP80" s="37" t="s">
        <v>176</v>
      </c>
      <c r="AQ80" s="47" t="s">
        <v>1229</v>
      </c>
      <c r="AR80" s="47" t="s">
        <v>102</v>
      </c>
      <c r="AS80" s="47">
        <v>41</v>
      </c>
      <c r="AT80" s="47" t="s">
        <v>178</v>
      </c>
      <c r="AU80" s="47" t="s">
        <v>1230</v>
      </c>
      <c r="AV80" s="47" t="s">
        <v>347</v>
      </c>
      <c r="AW80" s="111">
        <v>13477375639</v>
      </c>
      <c r="AX80" s="37" t="s">
        <v>448</v>
      </c>
      <c r="AY80" s="47">
        <v>3</v>
      </c>
      <c r="AZ80" s="122">
        <v>44379</v>
      </c>
      <c r="BA80" s="123">
        <v>45839</v>
      </c>
      <c r="BB80" s="47" t="s">
        <v>106</v>
      </c>
      <c r="BC80" s="47"/>
      <c r="BD80" s="47"/>
      <c r="BE80" s="47"/>
      <c r="BF80" s="37"/>
      <c r="BG80" s="47"/>
      <c r="BH80" s="37" t="s">
        <v>1231</v>
      </c>
      <c r="BI80" s="37"/>
      <c r="BJ80" s="37"/>
      <c r="BK80" s="47"/>
      <c r="BL80" s="268" t="s">
        <v>1232</v>
      </c>
      <c r="BM80" s="47" t="s">
        <v>109</v>
      </c>
      <c r="BN80" s="37" t="s">
        <v>110</v>
      </c>
      <c r="BO80" s="65">
        <v>2021.1</v>
      </c>
      <c r="BP80" s="58" t="s">
        <v>1233</v>
      </c>
      <c r="BQ80" s="269" t="s">
        <v>1234</v>
      </c>
      <c r="BR80" s="65">
        <v>2021.1</v>
      </c>
      <c r="BS80" s="47" t="s">
        <v>111</v>
      </c>
      <c r="BT80" s="47"/>
      <c r="BU80" s="206" t="s">
        <v>164</v>
      </c>
      <c r="BV80" s="47"/>
      <c r="BW80" s="47"/>
      <c r="BX80" s="207">
        <v>44470</v>
      </c>
      <c r="BY80" s="197">
        <v>1983</v>
      </c>
      <c r="BZ80" s="47">
        <v>5</v>
      </c>
      <c r="CA80" s="47">
        <v>2</v>
      </c>
    </row>
    <row r="81" s="103" customFormat="1" ht="31" customHeight="1" spans="1:79">
      <c r="A81" s="47">
        <v>80</v>
      </c>
      <c r="B81" s="47" t="s">
        <v>1235</v>
      </c>
      <c r="C81" s="111" t="s">
        <v>1236</v>
      </c>
      <c r="D81" s="111" t="str">
        <f t="shared" si="8"/>
        <v>女</v>
      </c>
      <c r="E81" s="47" t="s">
        <v>398</v>
      </c>
      <c r="F81" s="47" t="s">
        <v>144</v>
      </c>
      <c r="G81" s="37" t="s">
        <v>1237</v>
      </c>
      <c r="H81" s="122">
        <v>44418</v>
      </c>
      <c r="I81" s="111">
        <v>15872908802</v>
      </c>
      <c r="J81" s="265" t="s">
        <v>1238</v>
      </c>
      <c r="K81" s="111" t="s">
        <v>116</v>
      </c>
      <c r="L81" s="58" t="s">
        <v>1239</v>
      </c>
      <c r="M81" s="47" t="s">
        <v>149</v>
      </c>
      <c r="N81" s="58" t="s">
        <v>1239</v>
      </c>
      <c r="O81" s="32" t="str">
        <f t="shared" si="10"/>
        <v>1988-01-26</v>
      </c>
      <c r="P81" s="34">
        <f ca="1" t="shared" si="9"/>
        <v>38</v>
      </c>
      <c r="Q81" s="47">
        <f ca="1" t="shared" si="7"/>
        <v>4</v>
      </c>
      <c r="R81" s="28" t="s">
        <v>88</v>
      </c>
      <c r="S81" s="47" t="s">
        <v>89</v>
      </c>
      <c r="T81" s="111" t="s">
        <v>90</v>
      </c>
      <c r="U81" s="47" t="s">
        <v>91</v>
      </c>
      <c r="V81" s="47" t="s">
        <v>92</v>
      </c>
      <c r="W81" s="47"/>
      <c r="X81" s="47"/>
      <c r="Y81" s="37" t="s">
        <v>1240</v>
      </c>
      <c r="Z81" s="65">
        <v>2005.1</v>
      </c>
      <c r="AA81" s="47">
        <v>2017.7</v>
      </c>
      <c r="AB81" s="47" t="s">
        <v>1241</v>
      </c>
      <c r="AC81" s="47"/>
      <c r="AD81" s="47" t="s">
        <v>1242</v>
      </c>
      <c r="AE81" s="47">
        <v>18672178500</v>
      </c>
      <c r="AF81" s="111" t="s">
        <v>208</v>
      </c>
      <c r="AG81" s="37" t="s">
        <v>1243</v>
      </c>
      <c r="AH81" s="28" t="s">
        <v>362</v>
      </c>
      <c r="AI81" s="47">
        <v>2004.9</v>
      </c>
      <c r="AJ81" s="47">
        <v>2007.6</v>
      </c>
      <c r="AK81" s="47"/>
      <c r="AL81" s="47"/>
      <c r="AM81" s="47"/>
      <c r="AN81" s="111" t="s">
        <v>99</v>
      </c>
      <c r="AO81" s="58" t="s">
        <v>1239</v>
      </c>
      <c r="AP81" s="37" t="s">
        <v>176</v>
      </c>
      <c r="AQ81" s="47" t="s">
        <v>1242</v>
      </c>
      <c r="AR81" s="47" t="s">
        <v>102</v>
      </c>
      <c r="AS81" s="47">
        <v>34</v>
      </c>
      <c r="AT81" s="47" t="s">
        <v>445</v>
      </c>
      <c r="AU81" s="47" t="s">
        <v>1242</v>
      </c>
      <c r="AV81" s="47" t="s">
        <v>104</v>
      </c>
      <c r="AW81" s="111">
        <v>18672178500</v>
      </c>
      <c r="AX81" s="37" t="s">
        <v>1244</v>
      </c>
      <c r="AY81" s="47">
        <v>4</v>
      </c>
      <c r="AZ81" s="122">
        <v>44511</v>
      </c>
      <c r="BA81" s="123">
        <v>45971</v>
      </c>
      <c r="BB81" s="47" t="s">
        <v>106</v>
      </c>
      <c r="BC81" s="47"/>
      <c r="BD81" s="47"/>
      <c r="BE81" s="47"/>
      <c r="BF81" s="37"/>
      <c r="BG81" s="47"/>
      <c r="BH81" s="37" t="s">
        <v>1245</v>
      </c>
      <c r="BI81" s="37"/>
      <c r="BJ81" s="37"/>
      <c r="BK81" s="47"/>
      <c r="BL81" s="275" t="s">
        <v>1246</v>
      </c>
      <c r="BM81" s="47" t="s">
        <v>109</v>
      </c>
      <c r="BN81" s="37" t="s">
        <v>110</v>
      </c>
      <c r="BO81" s="47">
        <v>2021.12</v>
      </c>
      <c r="BP81" s="58" t="s">
        <v>1247</v>
      </c>
      <c r="BQ81" s="269" t="s">
        <v>1248</v>
      </c>
      <c r="BR81" s="47">
        <v>2021.12</v>
      </c>
      <c r="BS81" s="47" t="s">
        <v>111</v>
      </c>
      <c r="BT81" s="47"/>
      <c r="BU81" s="208" t="s">
        <v>164</v>
      </c>
      <c r="BV81" s="47"/>
      <c r="BW81" s="47"/>
      <c r="BX81" s="122">
        <v>44511</v>
      </c>
      <c r="BY81" s="197">
        <v>1988</v>
      </c>
      <c r="BZ81" s="47">
        <v>1</v>
      </c>
      <c r="CA81" s="47">
        <v>26</v>
      </c>
    </row>
    <row r="82" s="103" customFormat="1" ht="31" customHeight="1" spans="1:79">
      <c r="A82" s="47">
        <v>81</v>
      </c>
      <c r="B82" s="47" t="s">
        <v>1249</v>
      </c>
      <c r="C82" s="58" t="s">
        <v>1250</v>
      </c>
      <c r="D82" s="111" t="str">
        <f t="shared" si="8"/>
        <v>女</v>
      </c>
      <c r="E82" s="47" t="s">
        <v>398</v>
      </c>
      <c r="F82" s="47" t="s">
        <v>144</v>
      </c>
      <c r="G82" s="37" t="s">
        <v>399</v>
      </c>
      <c r="H82" s="122">
        <v>44453</v>
      </c>
      <c r="I82" s="139" t="s">
        <v>1251</v>
      </c>
      <c r="J82" s="265" t="s">
        <v>1252</v>
      </c>
      <c r="K82" s="138" t="s">
        <v>116</v>
      </c>
      <c r="L82" s="58" t="s">
        <v>1253</v>
      </c>
      <c r="M82" s="47" t="s">
        <v>149</v>
      </c>
      <c r="N82" s="58" t="s">
        <v>1253</v>
      </c>
      <c r="O82" s="32" t="str">
        <f t="shared" si="10"/>
        <v>1985-06-11</v>
      </c>
      <c r="P82" s="34">
        <f ca="1" t="shared" si="9"/>
        <v>41</v>
      </c>
      <c r="Q82" s="47">
        <f ca="1" t="shared" si="7"/>
        <v>4</v>
      </c>
      <c r="R82" s="28" t="s">
        <v>88</v>
      </c>
      <c r="S82" s="47" t="s">
        <v>89</v>
      </c>
      <c r="T82" s="111" t="s">
        <v>90</v>
      </c>
      <c r="U82" s="47" t="s">
        <v>91</v>
      </c>
      <c r="V82" s="47" t="s">
        <v>92</v>
      </c>
      <c r="W82" s="47"/>
      <c r="X82" s="47"/>
      <c r="Y82" s="37" t="s">
        <v>1254</v>
      </c>
      <c r="Z82" s="47">
        <v>2014.12</v>
      </c>
      <c r="AA82" s="47">
        <v>2021.6</v>
      </c>
      <c r="AB82" s="47" t="s">
        <v>399</v>
      </c>
      <c r="AC82" s="47"/>
      <c r="AD82" s="47"/>
      <c r="AE82" s="47"/>
      <c r="AF82" s="111" t="s">
        <v>208</v>
      </c>
      <c r="AG82" s="37" t="s">
        <v>1255</v>
      </c>
      <c r="AH82" s="111" t="s">
        <v>1256</v>
      </c>
      <c r="AI82" s="47">
        <v>2001.9</v>
      </c>
      <c r="AJ82" s="47">
        <v>2004.6</v>
      </c>
      <c r="AK82" s="47"/>
      <c r="AL82" s="47"/>
      <c r="AM82" s="47"/>
      <c r="AN82" s="111" t="s">
        <v>99</v>
      </c>
      <c r="AO82" s="58" t="s">
        <v>1253</v>
      </c>
      <c r="AP82" s="37" t="s">
        <v>176</v>
      </c>
      <c r="AQ82" s="47" t="s">
        <v>1257</v>
      </c>
      <c r="AR82" s="47" t="s">
        <v>102</v>
      </c>
      <c r="AS82" s="47">
        <v>38</v>
      </c>
      <c r="AT82" s="47" t="s">
        <v>445</v>
      </c>
      <c r="AU82" s="47" t="s">
        <v>1257</v>
      </c>
      <c r="AV82" s="47" t="s">
        <v>104</v>
      </c>
      <c r="AW82" s="111">
        <v>18772737520</v>
      </c>
      <c r="AX82" s="37" t="s">
        <v>287</v>
      </c>
      <c r="AY82" s="47">
        <v>4</v>
      </c>
      <c r="AZ82" s="122">
        <v>44562</v>
      </c>
      <c r="BA82" s="123">
        <v>46022</v>
      </c>
      <c r="BB82" s="47" t="s">
        <v>106</v>
      </c>
      <c r="BC82" s="47"/>
      <c r="BD82" s="47"/>
      <c r="BE82" s="47"/>
      <c r="BF82" s="37"/>
      <c r="BG82" s="47"/>
      <c r="BH82" s="37" t="s">
        <v>1258</v>
      </c>
      <c r="BI82" s="37"/>
      <c r="BJ82" s="37"/>
      <c r="BK82" s="47"/>
      <c r="BL82" s="58" t="s">
        <v>1259</v>
      </c>
      <c r="BM82" s="47" t="s">
        <v>109</v>
      </c>
      <c r="BN82" s="37" t="s">
        <v>110</v>
      </c>
      <c r="BO82" s="47">
        <v>2022.1</v>
      </c>
      <c r="BP82" s="58" t="s">
        <v>1260</v>
      </c>
      <c r="BQ82" s="269" t="s">
        <v>1261</v>
      </c>
      <c r="BR82" s="47">
        <v>2022.1</v>
      </c>
      <c r="BS82" s="47" t="s">
        <v>111</v>
      </c>
      <c r="BT82" s="47"/>
      <c r="BU82" s="208" t="s">
        <v>164</v>
      </c>
      <c r="BV82" s="47"/>
      <c r="BW82" s="47"/>
      <c r="BX82" s="122">
        <v>44562</v>
      </c>
      <c r="BY82" s="197">
        <v>1985</v>
      </c>
      <c r="BZ82" s="47">
        <v>6</v>
      </c>
      <c r="CA82" s="47">
        <v>11</v>
      </c>
    </row>
    <row r="83" s="103" customFormat="1" ht="31" customHeight="1" spans="1:79">
      <c r="A83" s="47">
        <v>82</v>
      </c>
      <c r="B83" s="47" t="s">
        <v>1262</v>
      </c>
      <c r="C83" s="47" t="s">
        <v>1263</v>
      </c>
      <c r="D83" s="111" t="str">
        <f t="shared" si="8"/>
        <v>男</v>
      </c>
      <c r="E83" s="47" t="s">
        <v>1264</v>
      </c>
      <c r="F83" s="47" t="s">
        <v>144</v>
      </c>
      <c r="G83" s="124" t="s">
        <v>1265</v>
      </c>
      <c r="H83" s="123">
        <v>45478</v>
      </c>
      <c r="I83" s="111">
        <v>13774088433</v>
      </c>
      <c r="J83" s="270" t="s">
        <v>1266</v>
      </c>
      <c r="K83" s="138" t="s">
        <v>116</v>
      </c>
      <c r="L83" s="37" t="s">
        <v>1267</v>
      </c>
      <c r="M83" s="47" t="s">
        <v>187</v>
      </c>
      <c r="N83" s="37" t="s">
        <v>1268</v>
      </c>
      <c r="O83" s="32" t="str">
        <f t="shared" si="10"/>
        <v>1975-08-15</v>
      </c>
      <c r="P83" s="34">
        <f ca="1" t="shared" si="9"/>
        <v>51</v>
      </c>
      <c r="Q83" s="47">
        <f ca="1" t="shared" si="7"/>
        <v>1</v>
      </c>
      <c r="R83" s="28" t="s">
        <v>88</v>
      </c>
      <c r="S83" s="47" t="s">
        <v>89</v>
      </c>
      <c r="T83" s="111" t="s">
        <v>150</v>
      </c>
      <c r="U83" s="47" t="s">
        <v>91</v>
      </c>
      <c r="V83" s="47" t="s">
        <v>92</v>
      </c>
      <c r="W83" s="47"/>
      <c r="X83" s="47"/>
      <c r="Y83" s="37" t="s">
        <v>1269</v>
      </c>
      <c r="Z83" s="47">
        <v>2018.5</v>
      </c>
      <c r="AA83" s="47">
        <v>2024.3</v>
      </c>
      <c r="AB83" s="47" t="s">
        <v>1265</v>
      </c>
      <c r="AC83" s="47"/>
      <c r="AD83" s="47" t="s">
        <v>1270</v>
      </c>
      <c r="AE83" s="47">
        <v>15850650831</v>
      </c>
      <c r="AF83" s="155" t="s">
        <v>154</v>
      </c>
      <c r="AG83" s="37" t="s">
        <v>1271</v>
      </c>
      <c r="AH83" s="155" t="s">
        <v>1272</v>
      </c>
      <c r="AI83" s="47">
        <v>1993.9</v>
      </c>
      <c r="AJ83" s="47">
        <v>1996.6</v>
      </c>
      <c r="AK83" s="47"/>
      <c r="AL83" s="37" t="s">
        <v>1273</v>
      </c>
      <c r="AM83" s="47"/>
      <c r="AN83" s="111" t="s">
        <v>99</v>
      </c>
      <c r="AO83" s="37" t="s">
        <v>1268</v>
      </c>
      <c r="AP83" s="37" t="s">
        <v>212</v>
      </c>
      <c r="AQ83" s="47" t="s">
        <v>1274</v>
      </c>
      <c r="AR83" s="47" t="s">
        <v>214</v>
      </c>
      <c r="AS83" s="47">
        <v>46</v>
      </c>
      <c r="AT83" s="47" t="s">
        <v>178</v>
      </c>
      <c r="AU83" s="47" t="s">
        <v>1274</v>
      </c>
      <c r="AV83" s="47" t="s">
        <v>104</v>
      </c>
      <c r="AW83" s="111">
        <v>13797972759</v>
      </c>
      <c r="AX83" s="178" t="s">
        <v>1275</v>
      </c>
      <c r="AY83" s="47">
        <v>1</v>
      </c>
      <c r="AZ83" s="123">
        <v>45478</v>
      </c>
      <c r="BA83" s="123">
        <v>46664</v>
      </c>
      <c r="BB83" s="47" t="s">
        <v>106</v>
      </c>
      <c r="BC83" s="47"/>
      <c r="BD83" s="47"/>
      <c r="BE83" s="47"/>
      <c r="BF83" s="37"/>
      <c r="BG83" s="47"/>
      <c r="BH83" s="37" t="s">
        <v>1276</v>
      </c>
      <c r="BI83" s="37"/>
      <c r="BJ83" s="37"/>
      <c r="BK83" s="47"/>
      <c r="BL83" s="275" t="s">
        <v>1277</v>
      </c>
      <c r="BM83" s="47" t="s">
        <v>109</v>
      </c>
      <c r="BN83" s="37" t="s">
        <v>110</v>
      </c>
      <c r="BO83" s="47">
        <v>2024.8</v>
      </c>
      <c r="BP83" s="58"/>
      <c r="BQ83" s="37"/>
      <c r="BR83" s="47">
        <v>2024.8</v>
      </c>
      <c r="BS83" s="47" t="s">
        <v>111</v>
      </c>
      <c r="BT83" s="47">
        <v>519</v>
      </c>
      <c r="BU83" s="208" t="s">
        <v>1278</v>
      </c>
      <c r="BV83" s="47"/>
      <c r="BW83" s="47"/>
      <c r="BX83" s="123">
        <v>45566</v>
      </c>
      <c r="BY83" s="249">
        <v>1975</v>
      </c>
      <c r="BZ83" s="47">
        <v>8</v>
      </c>
      <c r="CA83" s="47">
        <v>15</v>
      </c>
    </row>
    <row r="84" s="103" customFormat="1" ht="27" customHeight="1" spans="1:79">
      <c r="A84" s="47">
        <v>83</v>
      </c>
      <c r="B84" s="47" t="s">
        <v>1279</v>
      </c>
      <c r="C84" s="47" t="s">
        <v>1280</v>
      </c>
      <c r="D84" s="111" t="str">
        <f t="shared" si="8"/>
        <v>女</v>
      </c>
      <c r="E84" s="47" t="s">
        <v>1264</v>
      </c>
      <c r="F84" s="47" t="s">
        <v>144</v>
      </c>
      <c r="G84" s="47" t="s">
        <v>1281</v>
      </c>
      <c r="H84" s="123">
        <v>45495</v>
      </c>
      <c r="I84" s="47">
        <v>18986053541</v>
      </c>
      <c r="J84" s="270" t="s">
        <v>1282</v>
      </c>
      <c r="K84" s="47" t="s">
        <v>1283</v>
      </c>
      <c r="L84" s="149" t="s">
        <v>1284</v>
      </c>
      <c r="M84" s="47" t="s">
        <v>149</v>
      </c>
      <c r="N84" s="149" t="s">
        <v>1285</v>
      </c>
      <c r="O84" s="32" t="str">
        <f t="shared" si="10"/>
        <v>2002-03-09</v>
      </c>
      <c r="P84" s="34">
        <f ca="1" t="shared" si="9"/>
        <v>24</v>
      </c>
      <c r="Q84" s="47">
        <f ca="1" t="shared" si="7"/>
        <v>1</v>
      </c>
      <c r="R84" s="47" t="s">
        <v>88</v>
      </c>
      <c r="S84" s="47" t="s">
        <v>89</v>
      </c>
      <c r="T84" s="47" t="s">
        <v>1286</v>
      </c>
      <c r="U84" s="47" t="s">
        <v>91</v>
      </c>
      <c r="V84" s="47" t="s">
        <v>92</v>
      </c>
      <c r="W84" s="47"/>
      <c r="X84" s="47"/>
      <c r="Y84" s="47"/>
      <c r="Z84" s="47"/>
      <c r="AA84" s="47"/>
      <c r="AB84" s="47"/>
      <c r="AC84" s="47"/>
      <c r="AD84" s="47"/>
      <c r="AE84" s="47"/>
      <c r="AF84" s="47" t="s">
        <v>406</v>
      </c>
      <c r="AG84" s="47" t="s">
        <v>1287</v>
      </c>
      <c r="AH84" s="47" t="s">
        <v>1288</v>
      </c>
      <c r="AI84" s="47">
        <v>2020.9</v>
      </c>
      <c r="AJ84" s="47">
        <v>2024.6</v>
      </c>
      <c r="AK84" s="47"/>
      <c r="AL84" s="47"/>
      <c r="AM84" s="47"/>
      <c r="AN84" s="47" t="s">
        <v>194</v>
      </c>
      <c r="AO84" s="47" t="s">
        <v>1285</v>
      </c>
      <c r="AP84" s="47" t="s">
        <v>100</v>
      </c>
      <c r="AQ84" s="47" t="s">
        <v>1289</v>
      </c>
      <c r="AR84" s="47" t="s">
        <v>102</v>
      </c>
      <c r="AS84" s="47">
        <v>46</v>
      </c>
      <c r="AT84" s="47" t="s">
        <v>178</v>
      </c>
      <c r="AU84" s="47" t="s">
        <v>1290</v>
      </c>
      <c r="AV84" s="47" t="s">
        <v>350</v>
      </c>
      <c r="AW84" s="47">
        <v>15342509552</v>
      </c>
      <c r="AX84" s="37" t="s">
        <v>1291</v>
      </c>
      <c r="AY84" s="47">
        <v>1</v>
      </c>
      <c r="AZ84" s="123">
        <v>45495</v>
      </c>
      <c r="BA84" s="123">
        <v>45951</v>
      </c>
      <c r="BB84" s="47" t="s">
        <v>1292</v>
      </c>
      <c r="BC84" s="47"/>
      <c r="BD84" s="47"/>
      <c r="BE84" s="47"/>
      <c r="BF84" s="47"/>
      <c r="BG84" s="47"/>
      <c r="BH84" s="37" t="s">
        <v>1293</v>
      </c>
      <c r="BI84" s="47"/>
      <c r="BJ84" s="47"/>
      <c r="BK84" s="47"/>
      <c r="BL84" s="269" t="s">
        <v>1294</v>
      </c>
      <c r="BM84" s="47" t="s">
        <v>109</v>
      </c>
      <c r="BN84" s="37" t="s">
        <v>110</v>
      </c>
      <c r="BO84" s="47">
        <v>2024.11</v>
      </c>
      <c r="BP84" s="47"/>
      <c r="BQ84" s="47"/>
      <c r="BR84" s="47">
        <v>2024.11</v>
      </c>
      <c r="BS84" s="47" t="s">
        <v>111</v>
      </c>
      <c r="BT84" s="47">
        <v>529</v>
      </c>
      <c r="BU84" s="208" t="s">
        <v>1295</v>
      </c>
      <c r="BV84" s="47"/>
      <c r="BW84" s="47"/>
      <c r="BX84" s="123">
        <v>45587</v>
      </c>
      <c r="BY84" s="197">
        <v>2002</v>
      </c>
      <c r="BZ84" s="47">
        <v>3</v>
      </c>
      <c r="CA84" s="47">
        <v>9</v>
      </c>
    </row>
    <row r="85" s="103" customFormat="1" ht="61" spans="1:79">
      <c r="A85" s="47">
        <v>84</v>
      </c>
      <c r="B85" s="47" t="s">
        <v>1296</v>
      </c>
      <c r="C85" s="47" t="s">
        <v>1297</v>
      </c>
      <c r="D85" s="111" t="str">
        <f t="shared" si="8"/>
        <v>女</v>
      </c>
      <c r="E85" s="47" t="s">
        <v>1264</v>
      </c>
      <c r="F85" s="47" t="s">
        <v>144</v>
      </c>
      <c r="G85" s="47" t="s">
        <v>1281</v>
      </c>
      <c r="H85" s="123">
        <v>45660</v>
      </c>
      <c r="I85" s="47">
        <v>13451168027</v>
      </c>
      <c r="J85" s="47" t="s">
        <v>1298</v>
      </c>
      <c r="K85" s="47" t="s">
        <v>1170</v>
      </c>
      <c r="L85" s="149" t="s">
        <v>1299</v>
      </c>
      <c r="M85" s="47" t="s">
        <v>149</v>
      </c>
      <c r="N85" s="149" t="s">
        <v>1300</v>
      </c>
      <c r="O85" s="32" t="str">
        <f t="shared" si="10"/>
        <v>1995-04-25</v>
      </c>
      <c r="P85" s="34">
        <f ca="1" t="shared" si="9"/>
        <v>31</v>
      </c>
      <c r="Q85" s="47">
        <f ca="1" t="shared" si="7"/>
        <v>1</v>
      </c>
      <c r="R85" s="47" t="s">
        <v>88</v>
      </c>
      <c r="S85" s="47" t="s">
        <v>89</v>
      </c>
      <c r="T85" s="47" t="s">
        <v>90</v>
      </c>
      <c r="U85" s="47" t="s">
        <v>91</v>
      </c>
      <c r="V85" s="47" t="s">
        <v>92</v>
      </c>
      <c r="W85" s="47"/>
      <c r="X85" s="47"/>
      <c r="Y85" s="149" t="s">
        <v>1301</v>
      </c>
      <c r="Z85" s="47">
        <v>2017.11</v>
      </c>
      <c r="AA85" s="47">
        <v>2018.1</v>
      </c>
      <c r="AB85" s="47" t="s">
        <v>1302</v>
      </c>
      <c r="AC85" s="47"/>
      <c r="AD85" s="47" t="s">
        <v>1303</v>
      </c>
      <c r="AE85" s="47">
        <v>15271761843</v>
      </c>
      <c r="AF85" s="47" t="s">
        <v>154</v>
      </c>
      <c r="AG85" s="47" t="s">
        <v>812</v>
      </c>
      <c r="AH85" s="47" t="s">
        <v>1304</v>
      </c>
      <c r="AI85" s="47">
        <v>2013.7</v>
      </c>
      <c r="AJ85" s="47">
        <v>2014.7</v>
      </c>
      <c r="AK85" s="47"/>
      <c r="AL85" s="47" t="s">
        <v>1086</v>
      </c>
      <c r="AM85" s="47"/>
      <c r="AN85" s="47" t="s">
        <v>99</v>
      </c>
      <c r="AO85" s="47" t="s">
        <v>1300</v>
      </c>
      <c r="AP85" s="47" t="s">
        <v>176</v>
      </c>
      <c r="AQ85" s="47" t="s">
        <v>1305</v>
      </c>
      <c r="AR85" s="47" t="s">
        <v>102</v>
      </c>
      <c r="AS85" s="47">
        <v>29</v>
      </c>
      <c r="AT85" s="47" t="s">
        <v>178</v>
      </c>
      <c r="AU85" s="47" t="s">
        <v>1305</v>
      </c>
      <c r="AV85" s="47" t="s">
        <v>104</v>
      </c>
      <c r="AW85" s="47">
        <v>13797905493</v>
      </c>
      <c r="AX85" s="37" t="s">
        <v>1306</v>
      </c>
      <c r="AY85" s="47">
        <v>1</v>
      </c>
      <c r="AZ85" s="123">
        <v>45660</v>
      </c>
      <c r="BA85" s="123">
        <v>46024</v>
      </c>
      <c r="BB85" s="47" t="s">
        <v>106</v>
      </c>
      <c r="BC85" s="47"/>
      <c r="BD85" s="47"/>
      <c r="BE85" s="47"/>
      <c r="BF85" s="47" t="s">
        <v>1307</v>
      </c>
      <c r="BG85" s="47"/>
      <c r="BH85" s="37" t="s">
        <v>1308</v>
      </c>
      <c r="BI85" s="47"/>
      <c r="BJ85" s="47"/>
      <c r="BK85" s="47"/>
      <c r="BL85" s="269" t="s">
        <v>1309</v>
      </c>
      <c r="BM85" s="47" t="s">
        <v>109</v>
      </c>
      <c r="BN85" s="37" t="s">
        <v>110</v>
      </c>
      <c r="BO85" s="47">
        <v>2018.8</v>
      </c>
      <c r="BP85" s="47"/>
      <c r="BQ85" s="47"/>
      <c r="BR85" s="47">
        <v>2018.8</v>
      </c>
      <c r="BS85" s="47" t="s">
        <v>111</v>
      </c>
      <c r="BT85" s="47"/>
      <c r="BU85" s="208" t="s">
        <v>1310</v>
      </c>
      <c r="BV85" s="47"/>
      <c r="BW85" s="47"/>
      <c r="BX85" s="123"/>
      <c r="BY85" s="197">
        <v>1995</v>
      </c>
      <c r="BZ85" s="248">
        <v>4</v>
      </c>
      <c r="CA85" s="248">
        <v>25</v>
      </c>
    </row>
    <row r="86" s="103" customFormat="1" ht="30.75" customHeight="1" spans="1:79">
      <c r="A86" s="47">
        <v>85</v>
      </c>
      <c r="B86" s="47" t="s">
        <v>1311</v>
      </c>
      <c r="C86" s="47" t="s">
        <v>1312</v>
      </c>
      <c r="D86" s="111" t="str">
        <f t="shared" si="8"/>
        <v>男</v>
      </c>
      <c r="E86" s="47" t="s">
        <v>1313</v>
      </c>
      <c r="F86" s="47" t="s">
        <v>144</v>
      </c>
      <c r="G86" s="47" t="s">
        <v>1314</v>
      </c>
      <c r="H86" s="123">
        <v>45488</v>
      </c>
      <c r="I86" s="47">
        <v>15571362032</v>
      </c>
      <c r="J86" s="270" t="s">
        <v>1315</v>
      </c>
      <c r="K86" s="47" t="s">
        <v>1316</v>
      </c>
      <c r="L86" s="37" t="s">
        <v>1317</v>
      </c>
      <c r="M86" s="47" t="s">
        <v>187</v>
      </c>
      <c r="N86" s="149" t="s">
        <v>1318</v>
      </c>
      <c r="O86" s="32" t="str">
        <f t="shared" si="10"/>
        <v>2002-06-23</v>
      </c>
      <c r="P86" s="34">
        <f ca="1" t="shared" si="9"/>
        <v>24</v>
      </c>
      <c r="Q86" s="47">
        <f ca="1" t="shared" si="7"/>
        <v>1</v>
      </c>
      <c r="R86" s="47" t="s">
        <v>88</v>
      </c>
      <c r="S86" s="47" t="s">
        <v>89</v>
      </c>
      <c r="T86" s="47" t="s">
        <v>1286</v>
      </c>
      <c r="U86" s="47" t="s">
        <v>91</v>
      </c>
      <c r="V86" s="47" t="s">
        <v>92</v>
      </c>
      <c r="W86" s="47"/>
      <c r="X86" s="47"/>
      <c r="Y86" s="47"/>
      <c r="Z86" s="47"/>
      <c r="AA86" s="47"/>
      <c r="AB86" s="47"/>
      <c r="AC86" s="47"/>
      <c r="AD86" s="47"/>
      <c r="AE86" s="47"/>
      <c r="AF86" s="47" t="s">
        <v>406</v>
      </c>
      <c r="AG86" s="47" t="s">
        <v>1319</v>
      </c>
      <c r="AH86" s="47" t="s">
        <v>1288</v>
      </c>
      <c r="AI86" s="47">
        <v>2020.9</v>
      </c>
      <c r="AJ86" s="47">
        <v>2024.6</v>
      </c>
      <c r="AK86" s="47"/>
      <c r="AL86" s="47"/>
      <c r="AM86" s="47"/>
      <c r="AN86" s="47" t="s">
        <v>194</v>
      </c>
      <c r="AO86" s="47" t="s">
        <v>1318</v>
      </c>
      <c r="AP86" s="47" t="s">
        <v>815</v>
      </c>
      <c r="AQ86" s="47" t="s">
        <v>1320</v>
      </c>
      <c r="AR86" s="47" t="s">
        <v>214</v>
      </c>
      <c r="AS86" s="47">
        <v>46</v>
      </c>
      <c r="AT86" s="47"/>
      <c r="AU86" s="47" t="s">
        <v>1320</v>
      </c>
      <c r="AV86" s="47" t="s">
        <v>197</v>
      </c>
      <c r="AW86" s="47">
        <v>13828879053</v>
      </c>
      <c r="AX86" s="37" t="s">
        <v>1321</v>
      </c>
      <c r="AY86" s="47">
        <v>1</v>
      </c>
      <c r="AZ86" s="123">
        <v>45580</v>
      </c>
      <c r="BA86" s="123">
        <v>45944</v>
      </c>
      <c r="BB86" s="47" t="s">
        <v>1322</v>
      </c>
      <c r="BC86" s="47"/>
      <c r="BD86" s="47"/>
      <c r="BE86" s="47"/>
      <c r="BF86" s="47"/>
      <c r="BG86" s="47"/>
      <c r="BH86" s="37" t="s">
        <v>1323</v>
      </c>
      <c r="BI86" s="47"/>
      <c r="BJ86" s="47"/>
      <c r="BK86" s="47"/>
      <c r="BL86" s="269" t="s">
        <v>1324</v>
      </c>
      <c r="BM86" s="47" t="s">
        <v>109</v>
      </c>
      <c r="BN86" s="37" t="s">
        <v>110</v>
      </c>
      <c r="BO86" s="47">
        <v>2024.11</v>
      </c>
      <c r="BP86" s="47"/>
      <c r="BQ86" s="47"/>
      <c r="BR86" s="47">
        <v>2024.11</v>
      </c>
      <c r="BS86" s="47" t="s">
        <v>111</v>
      </c>
      <c r="BT86" s="47">
        <v>516</v>
      </c>
      <c r="BU86" s="208" t="s">
        <v>1295</v>
      </c>
      <c r="BV86" s="47"/>
      <c r="BW86" s="47"/>
      <c r="BX86" s="123">
        <v>45580</v>
      </c>
      <c r="BY86" s="197">
        <v>2002</v>
      </c>
      <c r="BZ86" s="47">
        <v>6</v>
      </c>
      <c r="CA86" s="47">
        <v>23</v>
      </c>
    </row>
    <row r="87" s="103" customFormat="1" ht="29" customHeight="1" spans="1:79">
      <c r="A87" s="47">
        <v>86</v>
      </c>
      <c r="B87" s="47" t="s">
        <v>238</v>
      </c>
      <c r="C87" s="47" t="s">
        <v>1325</v>
      </c>
      <c r="D87" s="111" t="str">
        <f t="shared" si="8"/>
        <v>女</v>
      </c>
      <c r="E87" s="47" t="s">
        <v>1313</v>
      </c>
      <c r="F87" s="47" t="s">
        <v>144</v>
      </c>
      <c r="G87" s="47" t="s">
        <v>1314</v>
      </c>
      <c r="H87" s="123">
        <v>45537</v>
      </c>
      <c r="I87" s="47">
        <v>13006017041</v>
      </c>
      <c r="J87" s="270" t="s">
        <v>1326</v>
      </c>
      <c r="K87" s="47" t="s">
        <v>116</v>
      </c>
      <c r="L87" s="37" t="s">
        <v>1327</v>
      </c>
      <c r="M87" s="37" t="s">
        <v>87</v>
      </c>
      <c r="N87" s="37" t="s">
        <v>1328</v>
      </c>
      <c r="O87" s="32" t="str">
        <f t="shared" si="10"/>
        <v>2002-06-30</v>
      </c>
      <c r="P87" s="34">
        <f ca="1" t="shared" si="9"/>
        <v>24</v>
      </c>
      <c r="Q87" s="47">
        <f ca="1" t="shared" si="7"/>
        <v>1</v>
      </c>
      <c r="R87" s="47" t="s">
        <v>88</v>
      </c>
      <c r="S87" s="47" t="s">
        <v>89</v>
      </c>
      <c r="T87" s="47" t="s">
        <v>1286</v>
      </c>
      <c r="U87" s="47" t="s">
        <v>91</v>
      </c>
      <c r="V87" s="47" t="s">
        <v>92</v>
      </c>
      <c r="W87" s="47"/>
      <c r="X87" s="47"/>
      <c r="Y87" s="47"/>
      <c r="Z87" s="47"/>
      <c r="AA87" s="47"/>
      <c r="AB87" s="47"/>
      <c r="AC87" s="47"/>
      <c r="AD87" s="47"/>
      <c r="AE87" s="47"/>
      <c r="AF87" s="47" t="s">
        <v>406</v>
      </c>
      <c r="AG87" s="47" t="s">
        <v>1329</v>
      </c>
      <c r="AH87" s="47" t="s">
        <v>1330</v>
      </c>
      <c r="AI87" s="47">
        <v>2020.9</v>
      </c>
      <c r="AJ87" s="47">
        <v>2024.6</v>
      </c>
      <c r="AK87" s="47"/>
      <c r="AL87" s="47"/>
      <c r="AM87" s="47"/>
      <c r="AN87" s="47" t="s">
        <v>194</v>
      </c>
      <c r="AO87" s="37" t="s">
        <v>1328</v>
      </c>
      <c r="AP87" s="47" t="s">
        <v>815</v>
      </c>
      <c r="AQ87" s="47" t="s">
        <v>1331</v>
      </c>
      <c r="AR87" s="47" t="s">
        <v>214</v>
      </c>
      <c r="AS87" s="47">
        <v>50</v>
      </c>
      <c r="AT87" s="47" t="s">
        <v>270</v>
      </c>
      <c r="AU87" s="47" t="s">
        <v>1332</v>
      </c>
      <c r="AV87" s="47" t="s">
        <v>347</v>
      </c>
      <c r="AW87" s="47">
        <v>13908698125</v>
      </c>
      <c r="AX87" s="37" t="s">
        <v>756</v>
      </c>
      <c r="AY87" s="47">
        <v>0</v>
      </c>
      <c r="AZ87" s="123">
        <v>45627</v>
      </c>
      <c r="BA87" s="123">
        <v>45991</v>
      </c>
      <c r="BB87" s="47" t="s">
        <v>106</v>
      </c>
      <c r="BC87" s="47"/>
      <c r="BD87" s="47"/>
      <c r="BE87" s="47"/>
      <c r="BF87" s="47"/>
      <c r="BG87" s="47"/>
      <c r="BH87" s="37" t="s">
        <v>1333</v>
      </c>
      <c r="BI87" s="47"/>
      <c r="BJ87" s="47"/>
      <c r="BK87" s="47"/>
      <c r="BL87" s="269" t="s">
        <v>1334</v>
      </c>
      <c r="BM87" s="47" t="s">
        <v>109</v>
      </c>
      <c r="BN87" s="37" t="s">
        <v>110</v>
      </c>
      <c r="BO87" s="47">
        <v>2025.12</v>
      </c>
      <c r="BP87" s="47"/>
      <c r="BQ87" s="47"/>
      <c r="BR87" s="47">
        <v>2025.12</v>
      </c>
      <c r="BS87" s="47" t="s">
        <v>111</v>
      </c>
      <c r="BT87" s="47">
        <v>529</v>
      </c>
      <c r="BU87" s="63" t="s">
        <v>164</v>
      </c>
      <c r="BV87" s="47"/>
      <c r="BW87" s="47"/>
      <c r="BX87" s="123">
        <v>45627</v>
      </c>
      <c r="BY87" s="197">
        <v>2002</v>
      </c>
      <c r="BZ87" s="47">
        <v>6</v>
      </c>
      <c r="CA87" s="47">
        <v>30</v>
      </c>
    </row>
    <row r="88" s="103" customFormat="1" ht="26" customHeight="1" spans="1:80">
      <c r="A88" s="47">
        <v>87</v>
      </c>
      <c r="B88" s="47" t="s">
        <v>1335</v>
      </c>
      <c r="C88" s="47" t="s">
        <v>1336</v>
      </c>
      <c r="D88" s="111" t="str">
        <f t="shared" si="8"/>
        <v>男</v>
      </c>
      <c r="E88" s="47" t="s">
        <v>644</v>
      </c>
      <c r="F88" s="47" t="s">
        <v>144</v>
      </c>
      <c r="G88" s="47" t="s">
        <v>693</v>
      </c>
      <c r="H88" s="250">
        <v>45727</v>
      </c>
      <c r="I88" s="47">
        <v>15972625070</v>
      </c>
      <c r="J88" s="47" t="s">
        <v>1337</v>
      </c>
      <c r="K88" s="47" t="s">
        <v>116</v>
      </c>
      <c r="L88" s="37" t="s">
        <v>1338</v>
      </c>
      <c r="M88" s="47" t="s">
        <v>149</v>
      </c>
      <c r="N88" s="37" t="s">
        <v>1338</v>
      </c>
      <c r="O88" s="32" t="str">
        <f t="shared" si="10"/>
        <v>1970-09-22</v>
      </c>
      <c r="P88" s="34">
        <f ca="1" t="shared" si="9"/>
        <v>56</v>
      </c>
      <c r="Q88" s="47">
        <f ca="1" t="shared" ref="Q88:Q101" si="11">IF(H88="","",DATEDIF(H88,TODAY(),"Y"))</f>
        <v>1</v>
      </c>
      <c r="R88" s="47" t="s">
        <v>88</v>
      </c>
      <c r="S88" s="47" t="s">
        <v>89</v>
      </c>
      <c r="T88" s="47" t="s">
        <v>90</v>
      </c>
      <c r="U88" s="47" t="s">
        <v>91</v>
      </c>
      <c r="V88" s="47" t="s">
        <v>92</v>
      </c>
      <c r="W88" s="47"/>
      <c r="X88" s="47"/>
      <c r="Y88" s="149" t="s">
        <v>1339</v>
      </c>
      <c r="Z88" s="47">
        <v>2018</v>
      </c>
      <c r="AA88" s="47">
        <v>2024</v>
      </c>
      <c r="AB88" s="47" t="s">
        <v>693</v>
      </c>
      <c r="AC88" s="47"/>
      <c r="AD88" s="47"/>
      <c r="AE88" s="47"/>
      <c r="AF88" s="47" t="s">
        <v>122</v>
      </c>
      <c r="AG88" s="47"/>
      <c r="AH88" s="47" t="s">
        <v>693</v>
      </c>
      <c r="AI88" s="47"/>
      <c r="AJ88" s="47"/>
      <c r="AK88" s="47"/>
      <c r="AL88" s="149" t="s">
        <v>1340</v>
      </c>
      <c r="AM88" s="47"/>
      <c r="AN88" s="47" t="s">
        <v>99</v>
      </c>
      <c r="AO88" s="37" t="s">
        <v>1338</v>
      </c>
      <c r="AP88" s="47" t="s">
        <v>212</v>
      </c>
      <c r="AQ88" s="47" t="s">
        <v>1341</v>
      </c>
      <c r="AR88" s="47" t="s">
        <v>214</v>
      </c>
      <c r="AS88" s="47">
        <v>54</v>
      </c>
      <c r="AT88" s="47" t="s">
        <v>270</v>
      </c>
      <c r="AU88" s="47" t="s">
        <v>1341</v>
      </c>
      <c r="AV88" s="47" t="s">
        <v>104</v>
      </c>
      <c r="AW88" s="47">
        <v>15572667262</v>
      </c>
      <c r="AX88" s="37" t="s">
        <v>1342</v>
      </c>
      <c r="AY88" s="47">
        <v>0</v>
      </c>
      <c r="AZ88" s="123">
        <v>45727</v>
      </c>
      <c r="BA88" s="123">
        <v>46091</v>
      </c>
      <c r="BB88" s="47" t="s">
        <v>106</v>
      </c>
      <c r="BC88" s="47"/>
      <c r="BD88" s="47"/>
      <c r="BE88" s="47"/>
      <c r="BF88" s="47"/>
      <c r="BG88" s="47"/>
      <c r="BH88" s="37" t="s">
        <v>1343</v>
      </c>
      <c r="BI88" s="47"/>
      <c r="BJ88" s="47"/>
      <c r="BK88" s="47"/>
      <c r="BL88" s="37" t="s">
        <v>1344</v>
      </c>
      <c r="BM88" s="47" t="s">
        <v>109</v>
      </c>
      <c r="BN88" s="37" t="s">
        <v>110</v>
      </c>
      <c r="BO88" s="47">
        <v>2025.04</v>
      </c>
      <c r="BP88" s="47"/>
      <c r="BQ88" s="47"/>
      <c r="BR88" s="47">
        <v>2025.04</v>
      </c>
      <c r="BS88" s="47" t="s">
        <v>111</v>
      </c>
      <c r="BT88" s="47"/>
      <c r="BU88" s="63" t="s">
        <v>606</v>
      </c>
      <c r="BV88" s="47"/>
      <c r="BW88" s="47"/>
      <c r="BX88" s="220" t="s">
        <v>276</v>
      </c>
      <c r="BY88" s="197">
        <v>1970</v>
      </c>
      <c r="BZ88" s="47">
        <v>9</v>
      </c>
      <c r="CA88" s="47">
        <v>22</v>
      </c>
      <c r="CB88" s="105"/>
    </row>
    <row r="89" s="103" customFormat="1" ht="24" customHeight="1" spans="1:79">
      <c r="A89" s="47">
        <v>88</v>
      </c>
      <c r="B89" s="47" t="s">
        <v>1345</v>
      </c>
      <c r="C89" s="47" t="s">
        <v>1346</v>
      </c>
      <c r="D89" s="111" t="s">
        <v>102</v>
      </c>
      <c r="E89" s="47" t="s">
        <v>1347</v>
      </c>
      <c r="F89" s="47" t="s">
        <v>144</v>
      </c>
      <c r="G89" s="149" t="s">
        <v>1348</v>
      </c>
      <c r="H89" s="123">
        <v>45708</v>
      </c>
      <c r="I89" s="47">
        <v>13886861476</v>
      </c>
      <c r="J89" s="270" t="s">
        <v>1349</v>
      </c>
      <c r="K89" s="47" t="s">
        <v>1350</v>
      </c>
      <c r="L89" s="37" t="s">
        <v>1351</v>
      </c>
      <c r="M89" s="47" t="s">
        <v>149</v>
      </c>
      <c r="N89" s="37" t="s">
        <v>1351</v>
      </c>
      <c r="O89" s="32" t="str">
        <f t="shared" si="10"/>
        <v>1200-10-90</v>
      </c>
      <c r="P89" s="34">
        <f ca="1" t="shared" si="9"/>
        <v>826</v>
      </c>
      <c r="Q89" s="47">
        <f ca="1" t="shared" si="11"/>
        <v>1</v>
      </c>
      <c r="R89" s="47" t="s">
        <v>88</v>
      </c>
      <c r="S89" s="47" t="s">
        <v>89</v>
      </c>
      <c r="T89" s="47" t="s">
        <v>1286</v>
      </c>
      <c r="U89" s="47" t="s">
        <v>91</v>
      </c>
      <c r="V89" s="47" t="s">
        <v>92</v>
      </c>
      <c r="W89" s="47"/>
      <c r="X89" s="47"/>
      <c r="Y89" s="149" t="s">
        <v>1352</v>
      </c>
      <c r="Z89" s="47">
        <v>2024</v>
      </c>
      <c r="AA89" s="47">
        <v>2024</v>
      </c>
      <c r="AB89" s="47" t="s">
        <v>399</v>
      </c>
      <c r="AC89" s="47"/>
      <c r="AD89" s="47"/>
      <c r="AE89" s="47"/>
      <c r="AF89" s="47" t="s">
        <v>406</v>
      </c>
      <c r="AG89" s="47" t="s">
        <v>1353</v>
      </c>
      <c r="AH89" s="47" t="s">
        <v>1354</v>
      </c>
      <c r="AI89" s="47">
        <v>2020.09</v>
      </c>
      <c r="AJ89" s="47">
        <v>2024.06</v>
      </c>
      <c r="AK89" s="47"/>
      <c r="AL89" s="47" t="s">
        <v>1355</v>
      </c>
      <c r="AM89" s="47"/>
      <c r="AN89" s="47" t="s">
        <v>194</v>
      </c>
      <c r="AO89" s="37" t="s">
        <v>1351</v>
      </c>
      <c r="AP89" s="47" t="s">
        <v>100</v>
      </c>
      <c r="AQ89" s="47" t="s">
        <v>1356</v>
      </c>
      <c r="AR89" s="47" t="s">
        <v>102</v>
      </c>
      <c r="AS89" s="47">
        <v>51</v>
      </c>
      <c r="AT89" s="47"/>
      <c r="AU89" s="47" t="s">
        <v>1356</v>
      </c>
      <c r="AV89" s="47" t="s">
        <v>100</v>
      </c>
      <c r="AW89" s="47">
        <v>15826759959</v>
      </c>
      <c r="AX89" s="37" t="s">
        <v>271</v>
      </c>
      <c r="AY89" s="47">
        <v>0</v>
      </c>
      <c r="AZ89" s="123">
        <v>45708</v>
      </c>
      <c r="BA89" s="123">
        <v>46072</v>
      </c>
      <c r="BB89" s="47" t="s">
        <v>106</v>
      </c>
      <c r="BC89" s="47"/>
      <c r="BD89" s="47"/>
      <c r="BE89" s="47"/>
      <c r="BF89" s="47"/>
      <c r="BG89" s="47"/>
      <c r="BH89" s="37" t="s">
        <v>1357</v>
      </c>
      <c r="BI89" s="47"/>
      <c r="BJ89" s="47"/>
      <c r="BK89" s="47"/>
      <c r="BL89" s="269" t="s">
        <v>1358</v>
      </c>
      <c r="BM89" s="47" t="s">
        <v>109</v>
      </c>
      <c r="BN89" s="37" t="s">
        <v>110</v>
      </c>
      <c r="BO89" s="47" t="s">
        <v>1359</v>
      </c>
      <c r="BP89" s="47"/>
      <c r="BQ89" s="47"/>
      <c r="BR89" s="47" t="s">
        <v>1359</v>
      </c>
      <c r="BS89" s="47" t="s">
        <v>111</v>
      </c>
      <c r="BT89" s="47">
        <v>531</v>
      </c>
      <c r="BU89" s="63" t="s">
        <v>275</v>
      </c>
      <c r="BV89" s="47"/>
      <c r="BW89" s="47"/>
      <c r="BX89" s="220" t="s">
        <v>276</v>
      </c>
      <c r="BY89" s="197">
        <v>2001</v>
      </c>
      <c r="BZ89" s="47">
        <v>9</v>
      </c>
      <c r="CA89" s="47">
        <v>3</v>
      </c>
    </row>
    <row r="90" s="103" customFormat="1" ht="26" customHeight="1" spans="1:80">
      <c r="A90" s="47">
        <v>89</v>
      </c>
      <c r="B90" s="47" t="s">
        <v>1360</v>
      </c>
      <c r="C90" s="47" t="s">
        <v>1361</v>
      </c>
      <c r="D90" s="111" t="str">
        <f t="shared" ref="D90:D96" si="12">IF(MOD(MID(J90,17,1),2)=1,"男","女")</f>
        <v>男</v>
      </c>
      <c r="E90" s="47" t="s">
        <v>81</v>
      </c>
      <c r="F90" s="47" t="s">
        <v>144</v>
      </c>
      <c r="G90" s="149" t="s">
        <v>1362</v>
      </c>
      <c r="H90" s="250">
        <v>45733</v>
      </c>
      <c r="I90" s="47">
        <v>15872961939</v>
      </c>
      <c r="J90" s="47" t="s">
        <v>1363</v>
      </c>
      <c r="K90" s="47" t="s">
        <v>1170</v>
      </c>
      <c r="L90" s="37" t="s">
        <v>1364</v>
      </c>
      <c r="M90" s="47" t="s">
        <v>149</v>
      </c>
      <c r="N90" s="37" t="s">
        <v>1365</v>
      </c>
      <c r="O90" s="32" t="str">
        <f t="shared" si="10"/>
        <v>1970-09-15</v>
      </c>
      <c r="P90" s="34">
        <f ca="1" t="shared" si="9"/>
        <v>56</v>
      </c>
      <c r="Q90" s="47">
        <f ca="1" t="shared" si="11"/>
        <v>1</v>
      </c>
      <c r="R90" s="47" t="s">
        <v>88</v>
      </c>
      <c r="S90" s="47" t="s">
        <v>245</v>
      </c>
      <c r="T90" s="47" t="s">
        <v>90</v>
      </c>
      <c r="U90" s="47" t="s">
        <v>91</v>
      </c>
      <c r="V90" s="47" t="s">
        <v>92</v>
      </c>
      <c r="W90" s="47"/>
      <c r="X90" s="47"/>
      <c r="Y90" s="47"/>
      <c r="Z90" s="47"/>
      <c r="AA90" s="47"/>
      <c r="AB90" s="47" t="s">
        <v>274</v>
      </c>
      <c r="AC90" s="47"/>
      <c r="AD90" s="47"/>
      <c r="AE90" s="47"/>
      <c r="AF90" s="47" t="s">
        <v>122</v>
      </c>
      <c r="AG90" s="47"/>
      <c r="AH90" s="47"/>
      <c r="AI90" s="47"/>
      <c r="AJ90" s="47"/>
      <c r="AK90" s="47"/>
      <c r="AL90" s="47"/>
      <c r="AM90" s="47"/>
      <c r="AN90" s="47" t="s">
        <v>99</v>
      </c>
      <c r="AO90" s="37" t="s">
        <v>1364</v>
      </c>
      <c r="AP90" s="47" t="s">
        <v>212</v>
      </c>
      <c r="AQ90" s="47" t="s">
        <v>1366</v>
      </c>
      <c r="AR90" s="47" t="s">
        <v>102</v>
      </c>
      <c r="AS90" s="47">
        <v>55</v>
      </c>
      <c r="AT90" s="47" t="s">
        <v>1130</v>
      </c>
      <c r="AU90" s="47" t="s">
        <v>1366</v>
      </c>
      <c r="AV90" s="47" t="s">
        <v>212</v>
      </c>
      <c r="AW90" s="47">
        <v>15872961939</v>
      </c>
      <c r="AX90" s="37" t="s">
        <v>1367</v>
      </c>
      <c r="AY90" s="47">
        <v>0</v>
      </c>
      <c r="AZ90" s="123">
        <v>45705</v>
      </c>
      <c r="BA90" s="123">
        <v>46069</v>
      </c>
      <c r="BB90" s="47" t="s">
        <v>106</v>
      </c>
      <c r="BC90" s="47"/>
      <c r="BD90" s="47"/>
      <c r="BE90" s="47"/>
      <c r="BF90" s="47"/>
      <c r="BG90" s="47"/>
      <c r="BH90" s="37"/>
      <c r="BI90" s="47"/>
      <c r="BJ90" s="47"/>
      <c r="BK90" s="47"/>
      <c r="BL90" s="269" t="s">
        <v>1368</v>
      </c>
      <c r="BM90" s="47" t="s">
        <v>109</v>
      </c>
      <c r="BN90" s="37" t="s">
        <v>110</v>
      </c>
      <c r="BO90" s="47" t="s">
        <v>1369</v>
      </c>
      <c r="BP90" s="47"/>
      <c r="BQ90" s="47"/>
      <c r="BR90" s="47" t="s">
        <v>1369</v>
      </c>
      <c r="BS90" s="47" t="s">
        <v>111</v>
      </c>
      <c r="BT90" s="47">
        <v>538</v>
      </c>
      <c r="BU90" s="63" t="s">
        <v>275</v>
      </c>
      <c r="BV90" s="47"/>
      <c r="BW90" s="47"/>
      <c r="BX90" s="220" t="s">
        <v>276</v>
      </c>
      <c r="BY90" s="197">
        <v>1970</v>
      </c>
      <c r="BZ90" s="47">
        <v>9</v>
      </c>
      <c r="CA90" s="47">
        <v>15</v>
      </c>
      <c r="CB90" s="105"/>
    </row>
    <row r="91" s="103" customFormat="1" ht="24" customHeight="1" spans="1:80">
      <c r="A91" s="47">
        <v>90</v>
      </c>
      <c r="B91" s="47" t="s">
        <v>1370</v>
      </c>
      <c r="C91" s="47" t="s">
        <v>1371</v>
      </c>
      <c r="D91" s="111" t="str">
        <f t="shared" si="12"/>
        <v>男</v>
      </c>
      <c r="E91" s="47" t="s">
        <v>81</v>
      </c>
      <c r="F91" s="47" t="s">
        <v>144</v>
      </c>
      <c r="G91" s="149" t="s">
        <v>1362</v>
      </c>
      <c r="H91" s="250">
        <v>45736</v>
      </c>
      <c r="I91" s="47">
        <v>18872426551</v>
      </c>
      <c r="J91" s="270" t="s">
        <v>1372</v>
      </c>
      <c r="K91" s="47" t="s">
        <v>116</v>
      </c>
      <c r="L91" s="37" t="s">
        <v>1373</v>
      </c>
      <c r="M91" s="47" t="s">
        <v>187</v>
      </c>
      <c r="N91" s="37" t="s">
        <v>1373</v>
      </c>
      <c r="O91" s="32" t="str">
        <f t="shared" si="10"/>
        <v>1977-10-17</v>
      </c>
      <c r="P91" s="34">
        <f ca="1" t="shared" si="9"/>
        <v>49</v>
      </c>
      <c r="Q91" s="47">
        <f ca="1" t="shared" si="11"/>
        <v>1</v>
      </c>
      <c r="R91" s="47" t="s">
        <v>88</v>
      </c>
      <c r="S91" s="47" t="s">
        <v>89</v>
      </c>
      <c r="T91" s="47" t="s">
        <v>90</v>
      </c>
      <c r="U91" s="47" t="s">
        <v>91</v>
      </c>
      <c r="V91" s="47" t="s">
        <v>92</v>
      </c>
      <c r="W91" s="47"/>
      <c r="X91" s="47"/>
      <c r="Y91" s="149" t="s">
        <v>1374</v>
      </c>
      <c r="Z91" s="47">
        <v>2001</v>
      </c>
      <c r="AA91" s="47">
        <v>2017</v>
      </c>
      <c r="AB91" s="47"/>
      <c r="AC91" s="47"/>
      <c r="AD91" s="47"/>
      <c r="AE91" s="47"/>
      <c r="AF91" s="47" t="s">
        <v>208</v>
      </c>
      <c r="AG91" s="47" t="s">
        <v>1375</v>
      </c>
      <c r="AH91" s="47" t="s">
        <v>1376</v>
      </c>
      <c r="AI91" s="47"/>
      <c r="AJ91" s="47"/>
      <c r="AK91" s="47"/>
      <c r="AL91" s="47"/>
      <c r="AM91" s="47"/>
      <c r="AN91" s="47" t="s">
        <v>99</v>
      </c>
      <c r="AO91" s="37" t="s">
        <v>1373</v>
      </c>
      <c r="AP91" s="47" t="s">
        <v>100</v>
      </c>
      <c r="AQ91" s="47" t="s">
        <v>1377</v>
      </c>
      <c r="AR91" s="47" t="s">
        <v>102</v>
      </c>
      <c r="AS91" s="47">
        <v>78</v>
      </c>
      <c r="AT91" s="47"/>
      <c r="AU91" s="47" t="s">
        <v>1378</v>
      </c>
      <c r="AV91" s="47" t="s">
        <v>212</v>
      </c>
      <c r="AW91" s="47">
        <v>13556735653</v>
      </c>
      <c r="AX91" s="37" t="s">
        <v>1379</v>
      </c>
      <c r="AY91" s="47">
        <v>0</v>
      </c>
      <c r="AZ91" s="123">
        <v>45736</v>
      </c>
      <c r="BA91" s="123">
        <v>46100</v>
      </c>
      <c r="BB91" s="47" t="s">
        <v>106</v>
      </c>
      <c r="BC91" s="47"/>
      <c r="BD91" s="47"/>
      <c r="BE91" s="47"/>
      <c r="BF91" s="47"/>
      <c r="BG91" s="47"/>
      <c r="BH91" s="37" t="s">
        <v>1380</v>
      </c>
      <c r="BI91" s="47"/>
      <c r="BJ91" s="47"/>
      <c r="BK91" s="47"/>
      <c r="BL91" s="269" t="s">
        <v>1381</v>
      </c>
      <c r="BM91" s="47" t="s">
        <v>109</v>
      </c>
      <c r="BN91" s="37" t="s">
        <v>110</v>
      </c>
      <c r="BO91" s="47">
        <v>2025.04</v>
      </c>
      <c r="BP91" s="47"/>
      <c r="BQ91" s="47"/>
      <c r="BR91" s="47">
        <v>2025.04</v>
      </c>
      <c r="BS91" s="47" t="s">
        <v>111</v>
      </c>
      <c r="BT91" s="47"/>
      <c r="BU91" s="63" t="s">
        <v>275</v>
      </c>
      <c r="BV91" s="47"/>
      <c r="BW91" s="47"/>
      <c r="BX91" s="123">
        <v>45767</v>
      </c>
      <c r="BY91" s="197">
        <v>1977</v>
      </c>
      <c r="BZ91" s="47">
        <v>10</v>
      </c>
      <c r="CA91" s="47">
        <v>17</v>
      </c>
      <c r="CB91" s="105"/>
    </row>
    <row r="92" s="103" customFormat="1" ht="30" customHeight="1" spans="1:79">
      <c r="A92" s="47">
        <v>91</v>
      </c>
      <c r="B92" s="47" t="s">
        <v>1382</v>
      </c>
      <c r="C92" s="47" t="s">
        <v>1383</v>
      </c>
      <c r="D92" s="111" t="str">
        <f t="shared" si="12"/>
        <v>男</v>
      </c>
      <c r="E92" s="47" t="s">
        <v>81</v>
      </c>
      <c r="F92" s="47" t="s">
        <v>144</v>
      </c>
      <c r="G92" s="149" t="s">
        <v>1362</v>
      </c>
      <c r="H92" s="123">
        <v>45706</v>
      </c>
      <c r="I92" s="47">
        <v>13177173368</v>
      </c>
      <c r="J92" s="270" t="s">
        <v>1384</v>
      </c>
      <c r="K92" s="47" t="s">
        <v>116</v>
      </c>
      <c r="L92" s="37" t="s">
        <v>1385</v>
      </c>
      <c r="M92" s="47" t="s">
        <v>149</v>
      </c>
      <c r="N92" s="37" t="s">
        <v>1365</v>
      </c>
      <c r="O92" s="32" t="str">
        <f t="shared" si="10"/>
        <v>1972-06-13</v>
      </c>
      <c r="P92" s="34">
        <f ca="1" t="shared" si="9"/>
        <v>54</v>
      </c>
      <c r="Q92" s="47">
        <f ca="1" t="shared" si="11"/>
        <v>1</v>
      </c>
      <c r="R92" s="47" t="s">
        <v>88</v>
      </c>
      <c r="S92" s="47" t="s">
        <v>89</v>
      </c>
      <c r="T92" s="47" t="s">
        <v>90</v>
      </c>
      <c r="U92" s="47" t="s">
        <v>91</v>
      </c>
      <c r="V92" s="47" t="s">
        <v>92</v>
      </c>
      <c r="W92" s="47"/>
      <c r="X92" s="47"/>
      <c r="Y92" s="47"/>
      <c r="Z92" s="47"/>
      <c r="AA92" s="47"/>
      <c r="AB92" s="47"/>
      <c r="AC92" s="47"/>
      <c r="AD92" s="47"/>
      <c r="AE92" s="47"/>
      <c r="AF92" s="47" t="s">
        <v>96</v>
      </c>
      <c r="AG92" s="47" t="s">
        <v>587</v>
      </c>
      <c r="AH92" s="47"/>
      <c r="AI92" s="47"/>
      <c r="AJ92" s="47"/>
      <c r="AK92" s="47"/>
      <c r="AL92" s="47"/>
      <c r="AM92" s="47"/>
      <c r="AN92" s="47" t="s">
        <v>194</v>
      </c>
      <c r="AO92" s="37" t="s">
        <v>1386</v>
      </c>
      <c r="AP92" s="47" t="s">
        <v>123</v>
      </c>
      <c r="AQ92" s="47" t="s">
        <v>1387</v>
      </c>
      <c r="AR92" s="47" t="s">
        <v>102</v>
      </c>
      <c r="AS92" s="47">
        <v>25</v>
      </c>
      <c r="AT92" s="47"/>
      <c r="AU92" s="47" t="s">
        <v>1387</v>
      </c>
      <c r="AV92" s="47" t="s">
        <v>1388</v>
      </c>
      <c r="AW92" s="47">
        <v>13986972365</v>
      </c>
      <c r="AX92" s="37" t="s">
        <v>271</v>
      </c>
      <c r="AY92" s="47">
        <v>0</v>
      </c>
      <c r="AZ92" s="123">
        <v>45708</v>
      </c>
      <c r="BA92" s="123">
        <v>46072</v>
      </c>
      <c r="BB92" s="47" t="s">
        <v>106</v>
      </c>
      <c r="BC92" s="47"/>
      <c r="BD92" s="47"/>
      <c r="BE92" s="47"/>
      <c r="BF92" s="47"/>
      <c r="BG92" s="47"/>
      <c r="BH92" s="37">
        <v>13177173368</v>
      </c>
      <c r="BI92" s="47"/>
      <c r="BJ92" s="47"/>
      <c r="BK92" s="47"/>
      <c r="BL92" s="269" t="s">
        <v>1389</v>
      </c>
      <c r="BM92" s="47" t="s">
        <v>109</v>
      </c>
      <c r="BN92" s="37" t="s">
        <v>110</v>
      </c>
      <c r="BO92" s="47" t="s">
        <v>1390</v>
      </c>
      <c r="BP92" s="47"/>
      <c r="BQ92" s="47"/>
      <c r="BR92" s="47" t="s">
        <v>1390</v>
      </c>
      <c r="BS92" s="47" t="s">
        <v>111</v>
      </c>
      <c r="BT92" s="47">
        <v>538</v>
      </c>
      <c r="BU92" s="63" t="s">
        <v>275</v>
      </c>
      <c r="BV92" s="47"/>
      <c r="BW92" s="47"/>
      <c r="BX92" s="220" t="s">
        <v>276</v>
      </c>
      <c r="BY92" s="197">
        <v>1972</v>
      </c>
      <c r="BZ92" s="47">
        <v>6</v>
      </c>
      <c r="CA92" s="47">
        <v>13</v>
      </c>
    </row>
    <row r="93" s="103" customFormat="1" ht="27" customHeight="1" spans="1:80">
      <c r="A93" s="47">
        <v>92</v>
      </c>
      <c r="B93" s="47" t="s">
        <v>1151</v>
      </c>
      <c r="C93" s="47" t="s">
        <v>1391</v>
      </c>
      <c r="D93" s="111" t="str">
        <f t="shared" si="12"/>
        <v>女</v>
      </c>
      <c r="E93" s="47" t="s">
        <v>139</v>
      </c>
      <c r="F93" s="47" t="s">
        <v>144</v>
      </c>
      <c r="G93" s="47" t="s">
        <v>843</v>
      </c>
      <c r="H93" s="250">
        <v>45732</v>
      </c>
      <c r="I93" s="47">
        <v>15071911225</v>
      </c>
      <c r="J93" s="270" t="s">
        <v>1392</v>
      </c>
      <c r="K93" s="47" t="s">
        <v>224</v>
      </c>
      <c r="L93" s="37" t="s">
        <v>1393</v>
      </c>
      <c r="M93" s="47" t="s">
        <v>149</v>
      </c>
      <c r="N93" s="37" t="s">
        <v>1393</v>
      </c>
      <c r="O93" s="32" t="str">
        <f t="shared" si="10"/>
        <v>1984-05-15</v>
      </c>
      <c r="P93" s="34">
        <f ca="1" t="shared" si="9"/>
        <v>42</v>
      </c>
      <c r="Q93" s="47">
        <f ca="1" t="shared" si="11"/>
        <v>1</v>
      </c>
      <c r="R93" s="47" t="s">
        <v>88</v>
      </c>
      <c r="S93" s="47" t="s">
        <v>89</v>
      </c>
      <c r="T93" s="47" t="s">
        <v>90</v>
      </c>
      <c r="U93" s="47" t="s">
        <v>91</v>
      </c>
      <c r="V93" s="47" t="s">
        <v>92</v>
      </c>
      <c r="W93" s="47"/>
      <c r="X93" s="47"/>
      <c r="Y93" s="47"/>
      <c r="Z93" s="47"/>
      <c r="AA93" s="47"/>
      <c r="AB93" s="47"/>
      <c r="AC93" s="47"/>
      <c r="AD93" s="47"/>
      <c r="AE93" s="47"/>
      <c r="AF93" s="47" t="s">
        <v>122</v>
      </c>
      <c r="AG93" s="47"/>
      <c r="AH93" s="47"/>
      <c r="AI93" s="47"/>
      <c r="AJ93" s="47"/>
      <c r="AK93" s="47"/>
      <c r="AL93" s="47"/>
      <c r="AM93" s="47"/>
      <c r="AN93" s="47" t="s">
        <v>99</v>
      </c>
      <c r="AO93" s="37" t="s">
        <v>1393</v>
      </c>
      <c r="AP93" s="47" t="s">
        <v>123</v>
      </c>
      <c r="AQ93" s="47" t="s">
        <v>1394</v>
      </c>
      <c r="AR93" s="47" t="s">
        <v>102</v>
      </c>
      <c r="AS93" s="47"/>
      <c r="AT93" s="47" t="s">
        <v>270</v>
      </c>
      <c r="AU93" s="47" t="s">
        <v>1394</v>
      </c>
      <c r="AV93" s="47" t="s">
        <v>123</v>
      </c>
      <c r="AW93" s="47">
        <v>15071911225</v>
      </c>
      <c r="AX93" s="37" t="s">
        <v>1379</v>
      </c>
      <c r="AY93" s="47">
        <v>0</v>
      </c>
      <c r="AZ93" s="123">
        <v>45736</v>
      </c>
      <c r="BA93" s="123">
        <v>46100</v>
      </c>
      <c r="BB93" s="47" t="s">
        <v>106</v>
      </c>
      <c r="BC93" s="47"/>
      <c r="BD93" s="47"/>
      <c r="BE93" s="47"/>
      <c r="BF93" s="47"/>
      <c r="BG93" s="47"/>
      <c r="BH93" s="37"/>
      <c r="BI93" s="47"/>
      <c r="BJ93" s="47"/>
      <c r="BK93" s="47"/>
      <c r="BL93" s="269" t="s">
        <v>1395</v>
      </c>
      <c r="BM93" s="47" t="s">
        <v>109</v>
      </c>
      <c r="BN93" s="37" t="s">
        <v>110</v>
      </c>
      <c r="BO93" s="47">
        <v>2025.04</v>
      </c>
      <c r="BP93" s="47"/>
      <c r="BQ93" s="47"/>
      <c r="BR93" s="47">
        <v>2025.04</v>
      </c>
      <c r="BS93" s="47" t="s">
        <v>111</v>
      </c>
      <c r="BT93" s="47"/>
      <c r="BU93" s="63" t="s">
        <v>275</v>
      </c>
      <c r="BV93" s="47"/>
      <c r="BW93" s="47"/>
      <c r="BX93" s="220" t="s">
        <v>276</v>
      </c>
      <c r="BY93" s="197">
        <v>1984</v>
      </c>
      <c r="BZ93" s="47">
        <v>9</v>
      </c>
      <c r="CA93" s="47">
        <v>15</v>
      </c>
      <c r="CB93" s="105"/>
    </row>
    <row r="94" s="103" customFormat="1" ht="24" customHeight="1" spans="1:80">
      <c r="A94" s="47">
        <v>93</v>
      </c>
      <c r="B94" s="47" t="s">
        <v>383</v>
      </c>
      <c r="C94" s="47" t="s">
        <v>1396</v>
      </c>
      <c r="D94" s="111" t="str">
        <f t="shared" si="12"/>
        <v>男</v>
      </c>
      <c r="E94" s="47" t="s">
        <v>398</v>
      </c>
      <c r="F94" s="47" t="s">
        <v>144</v>
      </c>
      <c r="G94" s="47" t="s">
        <v>399</v>
      </c>
      <c r="H94" s="250">
        <v>45741</v>
      </c>
      <c r="I94" s="47">
        <v>15201462668</v>
      </c>
      <c r="J94" s="47" t="s">
        <v>1397</v>
      </c>
      <c r="K94" s="47" t="s">
        <v>1398</v>
      </c>
      <c r="L94" s="37" t="s">
        <v>1399</v>
      </c>
      <c r="M94" s="47" t="s">
        <v>149</v>
      </c>
      <c r="N94" s="37" t="s">
        <v>1399</v>
      </c>
      <c r="O94" s="32" t="str">
        <f t="shared" si="10"/>
        <v>1996-09-18</v>
      </c>
      <c r="P94" s="34">
        <f ca="1" t="shared" si="9"/>
        <v>30</v>
      </c>
      <c r="Q94" s="47">
        <f ca="1" t="shared" si="11"/>
        <v>1</v>
      </c>
      <c r="R94" s="47" t="s">
        <v>88</v>
      </c>
      <c r="S94" s="47" t="s">
        <v>89</v>
      </c>
      <c r="T94" s="47" t="s">
        <v>90</v>
      </c>
      <c r="U94" s="47" t="s">
        <v>91</v>
      </c>
      <c r="V94" s="47" t="s">
        <v>92</v>
      </c>
      <c r="W94" s="47"/>
      <c r="X94" s="47"/>
      <c r="Y94" s="47" t="s">
        <v>1400</v>
      </c>
      <c r="Z94" s="47">
        <v>2023.06</v>
      </c>
      <c r="AA94" s="47">
        <v>2024.08</v>
      </c>
      <c r="AB94" s="47" t="s">
        <v>797</v>
      </c>
      <c r="AC94" s="47"/>
      <c r="AD94" s="47"/>
      <c r="AE94" s="47"/>
      <c r="AF94" s="47" t="s">
        <v>406</v>
      </c>
      <c r="AG94" s="149" t="s">
        <v>1401</v>
      </c>
      <c r="AH94" s="149" t="s">
        <v>1402</v>
      </c>
      <c r="AI94" s="149" t="s">
        <v>1403</v>
      </c>
      <c r="AJ94" s="149" t="s">
        <v>1404</v>
      </c>
      <c r="AK94" s="47"/>
      <c r="AL94" s="47"/>
      <c r="AM94" s="47"/>
      <c r="AN94" s="47" t="s">
        <v>99</v>
      </c>
      <c r="AO94" s="37" t="s">
        <v>1399</v>
      </c>
      <c r="AP94" s="47" t="s">
        <v>100</v>
      </c>
      <c r="AQ94" s="47" t="s">
        <v>1405</v>
      </c>
      <c r="AR94" s="47" t="s">
        <v>102</v>
      </c>
      <c r="AS94" s="47"/>
      <c r="AT94" s="47" t="s">
        <v>1130</v>
      </c>
      <c r="AU94" s="47" t="s">
        <v>1405</v>
      </c>
      <c r="AV94" s="47" t="s">
        <v>393</v>
      </c>
      <c r="AW94" s="47">
        <v>13774029700</v>
      </c>
      <c r="AX94" s="37" t="s">
        <v>1406</v>
      </c>
      <c r="AY94" s="47">
        <v>0</v>
      </c>
      <c r="AZ94" s="123">
        <v>45741</v>
      </c>
      <c r="BA94" s="123">
        <v>46105</v>
      </c>
      <c r="BB94" s="47" t="s">
        <v>1407</v>
      </c>
      <c r="BC94" s="47"/>
      <c r="BD94" s="47"/>
      <c r="BE94" s="47"/>
      <c r="BF94" s="47"/>
      <c r="BG94" s="47"/>
      <c r="BH94" s="37" t="s">
        <v>1408</v>
      </c>
      <c r="BI94" s="47"/>
      <c r="BJ94" s="47"/>
      <c r="BK94" s="47"/>
      <c r="BL94" s="269" t="s">
        <v>1409</v>
      </c>
      <c r="BM94" s="47" t="s">
        <v>109</v>
      </c>
      <c r="BN94" s="37" t="s">
        <v>110</v>
      </c>
      <c r="BO94" s="47">
        <v>2025.04</v>
      </c>
      <c r="BP94" s="47"/>
      <c r="BQ94" s="47"/>
      <c r="BR94" s="47">
        <v>2025.04</v>
      </c>
      <c r="BS94" s="47" t="s">
        <v>111</v>
      </c>
      <c r="BT94" s="47">
        <v>535</v>
      </c>
      <c r="BU94" s="63" t="s">
        <v>275</v>
      </c>
      <c r="BV94" s="47"/>
      <c r="BW94" s="47"/>
      <c r="BX94" s="220" t="s">
        <v>276</v>
      </c>
      <c r="BY94" s="197">
        <v>1996</v>
      </c>
      <c r="BZ94" s="47">
        <v>9</v>
      </c>
      <c r="CA94" s="47">
        <v>12</v>
      </c>
      <c r="CB94" s="105"/>
    </row>
    <row r="95" customFormat="1" ht="26" customHeight="1" spans="1:79">
      <c r="A95" s="47">
        <v>94</v>
      </c>
      <c r="B95" s="47" t="s">
        <v>396</v>
      </c>
      <c r="C95" s="47" t="s">
        <v>1410</v>
      </c>
      <c r="D95" s="111" t="str">
        <f t="shared" si="12"/>
        <v>女</v>
      </c>
      <c r="E95" s="47" t="s">
        <v>81</v>
      </c>
      <c r="F95" s="47" t="s">
        <v>144</v>
      </c>
      <c r="G95" s="149" t="s">
        <v>1362</v>
      </c>
      <c r="H95" s="123">
        <v>45717</v>
      </c>
      <c r="I95" s="47">
        <v>15071983203</v>
      </c>
      <c r="J95" s="270" t="s">
        <v>1411</v>
      </c>
      <c r="K95" s="47" t="s">
        <v>224</v>
      </c>
      <c r="L95" s="37" t="s">
        <v>1412</v>
      </c>
      <c r="M95" s="47" t="s">
        <v>149</v>
      </c>
      <c r="N95" s="37" t="s">
        <v>1365</v>
      </c>
      <c r="O95" s="32" t="str">
        <f t="shared" si="10"/>
        <v>1989-02-18</v>
      </c>
      <c r="P95" s="34">
        <f ca="1" t="shared" si="9"/>
        <v>37</v>
      </c>
      <c r="Q95" s="47">
        <f ca="1" t="shared" si="11"/>
        <v>1</v>
      </c>
      <c r="R95" s="47" t="s">
        <v>88</v>
      </c>
      <c r="S95" s="47" t="s">
        <v>245</v>
      </c>
      <c r="T95" s="47" t="s">
        <v>90</v>
      </c>
      <c r="U95" s="47" t="s">
        <v>91</v>
      </c>
      <c r="V95" s="47" t="s">
        <v>92</v>
      </c>
      <c r="W95" s="62"/>
      <c r="X95" s="62"/>
      <c r="Y95" s="62"/>
      <c r="Z95" s="62"/>
      <c r="AA95" s="62"/>
      <c r="AB95" s="149" t="s">
        <v>1413</v>
      </c>
      <c r="AC95" s="62"/>
      <c r="AD95" s="62"/>
      <c r="AE95" s="62"/>
      <c r="AF95" s="47" t="s">
        <v>96</v>
      </c>
      <c r="AG95" s="47"/>
      <c r="AH95" s="47"/>
      <c r="AI95" s="62"/>
      <c r="AJ95" s="62"/>
      <c r="AK95" s="62"/>
      <c r="AL95" s="62"/>
      <c r="AM95" s="62"/>
      <c r="AN95" s="47" t="s">
        <v>99</v>
      </c>
      <c r="AO95" s="37" t="s">
        <v>1412</v>
      </c>
      <c r="AP95" s="47" t="s">
        <v>176</v>
      </c>
      <c r="AQ95" s="47" t="s">
        <v>1414</v>
      </c>
      <c r="AR95" s="5" t="s">
        <v>102</v>
      </c>
      <c r="AS95" s="47">
        <v>39</v>
      </c>
      <c r="AT95" s="47" t="s">
        <v>1415</v>
      </c>
      <c r="AU95" s="47" t="s">
        <v>1414</v>
      </c>
      <c r="AV95" s="47" t="s">
        <v>176</v>
      </c>
      <c r="AW95" s="47">
        <v>13477559897</v>
      </c>
      <c r="AX95" s="37" t="s">
        <v>1416</v>
      </c>
      <c r="AY95" s="47">
        <v>0</v>
      </c>
      <c r="AZ95" s="123">
        <v>45717</v>
      </c>
      <c r="BA95" s="123" t="s">
        <v>1417</v>
      </c>
      <c r="BB95" s="47" t="s">
        <v>106</v>
      </c>
      <c r="BC95" s="62"/>
      <c r="BD95" s="62"/>
      <c r="BE95" s="62"/>
      <c r="BF95" s="62"/>
      <c r="BG95" s="62"/>
      <c r="BH95" s="37" t="s">
        <v>1418</v>
      </c>
      <c r="BI95" s="62"/>
      <c r="BJ95" s="62"/>
      <c r="BK95" s="62"/>
      <c r="BL95" s="269" t="s">
        <v>1419</v>
      </c>
      <c r="BM95" s="47" t="s">
        <v>109</v>
      </c>
      <c r="BN95" s="37" t="s">
        <v>110</v>
      </c>
      <c r="BO95" s="47">
        <v>2025.04</v>
      </c>
      <c r="BP95" s="251" t="s">
        <v>1420</v>
      </c>
      <c r="BQ95" s="252"/>
      <c r="BR95" s="47">
        <v>2025.04</v>
      </c>
      <c r="BS95" s="47" t="s">
        <v>111</v>
      </c>
      <c r="BT95" s="47">
        <v>537</v>
      </c>
      <c r="BU95" s="63" t="s">
        <v>275</v>
      </c>
      <c r="BV95" s="62"/>
      <c r="BW95" s="62"/>
      <c r="BX95" s="220" t="s">
        <v>1421</v>
      </c>
      <c r="BY95" s="254">
        <v>1989</v>
      </c>
      <c r="BZ95" s="5">
        <v>2</v>
      </c>
      <c r="CA95" s="5">
        <v>18</v>
      </c>
    </row>
    <row r="96" ht="30" customHeight="1" spans="1:79">
      <c r="A96" s="47">
        <v>95</v>
      </c>
      <c r="B96" s="47" t="s">
        <v>263</v>
      </c>
      <c r="C96" s="47" t="s">
        <v>1422</v>
      </c>
      <c r="D96" s="111" t="str">
        <f t="shared" si="12"/>
        <v>女</v>
      </c>
      <c r="E96" s="47" t="s">
        <v>81</v>
      </c>
      <c r="F96" s="47" t="s">
        <v>144</v>
      </c>
      <c r="G96" s="149" t="s">
        <v>1362</v>
      </c>
      <c r="H96" s="123">
        <v>45734</v>
      </c>
      <c r="I96" s="47">
        <v>13677231138</v>
      </c>
      <c r="J96" s="270" t="s">
        <v>1423</v>
      </c>
      <c r="K96" s="47" t="s">
        <v>116</v>
      </c>
      <c r="L96" s="37" t="s">
        <v>1424</v>
      </c>
      <c r="M96" s="47" t="s">
        <v>149</v>
      </c>
      <c r="N96" s="37" t="s">
        <v>1424</v>
      </c>
      <c r="O96" s="32" t="str">
        <f t="shared" si="10"/>
        <v>1989-03-26</v>
      </c>
      <c r="P96" s="34">
        <f ca="1" t="shared" si="9"/>
        <v>37</v>
      </c>
      <c r="Q96" s="47">
        <f ca="1" t="shared" si="11"/>
        <v>1</v>
      </c>
      <c r="R96" s="47" t="s">
        <v>88</v>
      </c>
      <c r="S96" s="47" t="s">
        <v>89</v>
      </c>
      <c r="T96" s="47" t="s">
        <v>90</v>
      </c>
      <c r="U96" s="47" t="s">
        <v>91</v>
      </c>
      <c r="V96" s="47" t="s">
        <v>92</v>
      </c>
      <c r="W96" s="165"/>
      <c r="X96" s="165"/>
      <c r="Y96" s="149" t="s">
        <v>1425</v>
      </c>
      <c r="Z96" s="165"/>
      <c r="AA96" s="165"/>
      <c r="AB96" s="165"/>
      <c r="AC96" s="165"/>
      <c r="AD96" s="165"/>
      <c r="AE96" s="165"/>
      <c r="AF96" s="165"/>
      <c r="AG96" s="165"/>
      <c r="AH96" s="165"/>
      <c r="AI96" s="165"/>
      <c r="AJ96" s="165"/>
      <c r="AK96" s="165"/>
      <c r="AL96" s="165"/>
      <c r="AM96" s="165"/>
      <c r="AN96" s="47" t="s">
        <v>99</v>
      </c>
      <c r="AO96" s="37" t="s">
        <v>1424</v>
      </c>
      <c r="AP96" s="47" t="s">
        <v>1426</v>
      </c>
      <c r="AQ96" s="47" t="s">
        <v>176</v>
      </c>
      <c r="AR96" s="47" t="s">
        <v>102</v>
      </c>
      <c r="AS96" s="47"/>
      <c r="AT96" s="47" t="s">
        <v>1427</v>
      </c>
      <c r="AU96" s="47" t="s">
        <v>1426</v>
      </c>
      <c r="AV96" s="47" t="s">
        <v>176</v>
      </c>
      <c r="AW96" s="47">
        <v>17707242516</v>
      </c>
      <c r="AX96" s="37" t="s">
        <v>1428</v>
      </c>
      <c r="AY96" s="47">
        <v>0</v>
      </c>
      <c r="AZ96" s="123">
        <v>45734</v>
      </c>
      <c r="BA96" s="123">
        <v>46098</v>
      </c>
      <c r="BB96" s="47" t="s">
        <v>106</v>
      </c>
      <c r="BC96" s="165"/>
      <c r="BD96" s="165"/>
      <c r="BE96" s="165"/>
      <c r="BF96" s="165"/>
      <c r="BG96" s="165"/>
      <c r="BH96" s="47" t="s">
        <v>1429</v>
      </c>
      <c r="BI96" s="165"/>
      <c r="BJ96" s="165"/>
      <c r="BK96" s="165"/>
      <c r="BL96" s="269" t="s">
        <v>1430</v>
      </c>
      <c r="BM96" s="47" t="s">
        <v>109</v>
      </c>
      <c r="BN96" s="37" t="s">
        <v>110</v>
      </c>
      <c r="BO96" s="47">
        <v>2025.04</v>
      </c>
      <c r="BP96" s="165"/>
      <c r="BQ96" s="165"/>
      <c r="BR96" s="47">
        <v>2025.04</v>
      </c>
      <c r="BS96" s="47" t="s">
        <v>111</v>
      </c>
      <c r="BT96" s="47"/>
      <c r="BU96" s="63" t="s">
        <v>1431</v>
      </c>
      <c r="BV96" s="165"/>
      <c r="BW96" s="165"/>
      <c r="BX96" s="220" t="s">
        <v>1421</v>
      </c>
      <c r="BY96" s="224">
        <v>1989</v>
      </c>
      <c r="BZ96" s="165">
        <v>3</v>
      </c>
      <c r="CA96" s="165">
        <v>26</v>
      </c>
    </row>
    <row r="97" ht="30" customHeight="1" spans="1:79">
      <c r="A97" s="47">
        <v>96</v>
      </c>
      <c r="B97" s="47" t="s">
        <v>1432</v>
      </c>
      <c r="C97" s="47" t="s">
        <v>1433</v>
      </c>
      <c r="D97" s="165" t="s">
        <v>102</v>
      </c>
      <c r="E97" s="47" t="s">
        <v>139</v>
      </c>
      <c r="F97" s="47" t="s">
        <v>144</v>
      </c>
      <c r="G97" s="149" t="s">
        <v>1434</v>
      </c>
      <c r="H97" s="123">
        <v>45748</v>
      </c>
      <c r="I97" s="47">
        <v>17389819211</v>
      </c>
      <c r="J97" s="270" t="s">
        <v>1435</v>
      </c>
      <c r="K97" s="47" t="s">
        <v>1436</v>
      </c>
      <c r="L97" s="149" t="s">
        <v>1437</v>
      </c>
      <c r="M97" s="47" t="s">
        <v>149</v>
      </c>
      <c r="N97" s="149" t="s">
        <v>1437</v>
      </c>
      <c r="O97" s="32" t="str">
        <f t="shared" si="10"/>
        <v>1988-02-09</v>
      </c>
      <c r="P97" s="34">
        <f ca="1" t="shared" si="9"/>
        <v>38</v>
      </c>
      <c r="Q97" s="47">
        <f ca="1" t="shared" si="11"/>
        <v>1</v>
      </c>
      <c r="R97" s="47" t="s">
        <v>88</v>
      </c>
      <c r="S97" s="47" t="s">
        <v>89</v>
      </c>
      <c r="T97" s="47" t="s">
        <v>90</v>
      </c>
      <c r="U97" s="47" t="s">
        <v>91</v>
      </c>
      <c r="V97" s="47" t="s">
        <v>92</v>
      </c>
      <c r="W97" s="165"/>
      <c r="X97" s="47"/>
      <c r="Y97" s="149" t="s">
        <v>1438</v>
      </c>
      <c r="Z97" s="47"/>
      <c r="AA97" s="47"/>
      <c r="AB97" s="149" t="s">
        <v>1439</v>
      </c>
      <c r="AC97" s="165"/>
      <c r="AD97" s="165"/>
      <c r="AE97" s="165"/>
      <c r="AF97" s="47"/>
      <c r="AG97" s="47"/>
      <c r="AH97" s="47"/>
      <c r="AI97" s="47"/>
      <c r="AJ97" s="47"/>
      <c r="AK97" s="47"/>
      <c r="AL97" s="47"/>
      <c r="AM97" s="47"/>
      <c r="AN97" s="47" t="s">
        <v>99</v>
      </c>
      <c r="AO97" s="149" t="s">
        <v>1437</v>
      </c>
      <c r="AP97" s="47" t="s">
        <v>100</v>
      </c>
      <c r="AQ97" s="47" t="s">
        <v>1440</v>
      </c>
      <c r="AR97" s="47" t="s">
        <v>102</v>
      </c>
      <c r="AS97" s="47"/>
      <c r="AT97" s="47"/>
      <c r="AU97" s="47" t="s">
        <v>1440</v>
      </c>
      <c r="AV97" s="47" t="s">
        <v>393</v>
      </c>
      <c r="AW97" s="47">
        <v>18889692758</v>
      </c>
      <c r="AX97" s="37" t="s">
        <v>1441</v>
      </c>
      <c r="AY97" s="165">
        <v>0</v>
      </c>
      <c r="AZ97" s="123">
        <v>45748</v>
      </c>
      <c r="BA97" s="123">
        <v>45747</v>
      </c>
      <c r="BB97" s="47" t="s">
        <v>106</v>
      </c>
      <c r="BC97" s="165"/>
      <c r="BD97" s="165"/>
      <c r="BE97" s="165"/>
      <c r="BF97" s="165"/>
      <c r="BG97" s="165"/>
      <c r="BH97" s="47">
        <v>17389819211</v>
      </c>
      <c r="BI97" s="165"/>
      <c r="BJ97" s="165"/>
      <c r="BK97" s="165"/>
      <c r="BL97" s="273" t="s">
        <v>1442</v>
      </c>
      <c r="BM97" s="47" t="s">
        <v>109</v>
      </c>
      <c r="BN97" s="37" t="s">
        <v>110</v>
      </c>
      <c r="BO97" s="47">
        <v>2025.04</v>
      </c>
      <c r="BP97" s="165"/>
      <c r="BQ97" s="165"/>
      <c r="BR97" s="47">
        <v>2025.04</v>
      </c>
      <c r="BS97" s="47" t="s">
        <v>111</v>
      </c>
      <c r="BT97" s="47"/>
      <c r="BU97" s="47">
        <v>2025.03</v>
      </c>
      <c r="BV97" s="47"/>
      <c r="BW97" s="47"/>
      <c r="BX97" s="253" t="s">
        <v>1443</v>
      </c>
      <c r="BY97" s="224">
        <v>1988</v>
      </c>
      <c r="BZ97" s="165">
        <v>2</v>
      </c>
      <c r="CA97" s="165">
        <v>9</v>
      </c>
    </row>
    <row r="98" ht="33" customHeight="1" spans="1:79">
      <c r="A98" s="47">
        <v>97</v>
      </c>
      <c r="B98" s="47" t="s">
        <v>1444</v>
      </c>
      <c r="C98" s="111" t="s">
        <v>1445</v>
      </c>
      <c r="D98" s="111" t="str">
        <f>IF(MOD(MID(J98,17,1),2)=1,"男","女")</f>
        <v>女</v>
      </c>
      <c r="E98" s="111" t="s">
        <v>81</v>
      </c>
      <c r="F98" s="47" t="s">
        <v>144</v>
      </c>
      <c r="G98" s="117" t="s">
        <v>968</v>
      </c>
      <c r="H98" s="18">
        <v>45748</v>
      </c>
      <c r="I98" s="139" t="s">
        <v>1446</v>
      </c>
      <c r="J98" s="265" t="s">
        <v>1447</v>
      </c>
      <c r="K98" s="58" t="s">
        <v>85</v>
      </c>
      <c r="L98" s="58" t="s">
        <v>1448</v>
      </c>
      <c r="M98" s="47" t="s">
        <v>149</v>
      </c>
      <c r="N98" s="58" t="s">
        <v>1448</v>
      </c>
      <c r="O98" s="32" t="str">
        <f t="shared" si="10"/>
        <v>1982-04-17</v>
      </c>
      <c r="P98" s="34">
        <f ca="1" t="shared" si="9"/>
        <v>44</v>
      </c>
      <c r="Q98" s="47">
        <f ca="1" t="shared" si="11"/>
        <v>1</v>
      </c>
      <c r="R98" s="111" t="s">
        <v>88</v>
      </c>
      <c r="S98" s="47" t="s">
        <v>89</v>
      </c>
      <c r="T98" s="28" t="s">
        <v>90</v>
      </c>
      <c r="U98" s="47" t="s">
        <v>91</v>
      </c>
      <c r="V98" s="47" t="s">
        <v>92</v>
      </c>
      <c r="W98" s="47"/>
      <c r="X98" s="47"/>
      <c r="Y98" s="149" t="s">
        <v>144</v>
      </c>
      <c r="Z98" s="47"/>
      <c r="AA98" s="47"/>
      <c r="AB98" s="47" t="s">
        <v>121</v>
      </c>
      <c r="AC98" s="47"/>
      <c r="AD98" s="47"/>
      <c r="AE98" s="47"/>
      <c r="AF98" s="111" t="s">
        <v>96</v>
      </c>
      <c r="AG98" s="37"/>
      <c r="AH98" s="111"/>
      <c r="AI98" s="47"/>
      <c r="AJ98" s="47"/>
      <c r="AK98" s="47"/>
      <c r="AL98" s="47"/>
      <c r="AM98" s="47"/>
      <c r="AN98" s="111" t="s">
        <v>99</v>
      </c>
      <c r="AO98" s="58" t="s">
        <v>1448</v>
      </c>
      <c r="AP98" s="37" t="s">
        <v>176</v>
      </c>
      <c r="AQ98" s="47" t="s">
        <v>1449</v>
      </c>
      <c r="AR98" s="47" t="s">
        <v>102</v>
      </c>
      <c r="AS98" s="47">
        <v>43</v>
      </c>
      <c r="AT98" s="47" t="s">
        <v>103</v>
      </c>
      <c r="AU98" s="47" t="s">
        <v>1449</v>
      </c>
      <c r="AV98" s="47" t="s">
        <v>104</v>
      </c>
      <c r="AW98" s="111">
        <v>15800085843</v>
      </c>
      <c r="AX98" s="37" t="s">
        <v>1450</v>
      </c>
      <c r="AY98" s="47">
        <v>4</v>
      </c>
      <c r="AZ98" s="50">
        <v>44013</v>
      </c>
      <c r="BA98" s="123">
        <v>46203</v>
      </c>
      <c r="BB98" s="47" t="s">
        <v>106</v>
      </c>
      <c r="BC98" s="47"/>
      <c r="BD98" s="47"/>
      <c r="BE98" s="123">
        <v>45688</v>
      </c>
      <c r="BF98" s="37"/>
      <c r="BG98" s="47"/>
      <c r="BH98" s="37" t="s">
        <v>1451</v>
      </c>
      <c r="BI98" s="37"/>
      <c r="BJ98" s="37"/>
      <c r="BK98" s="47"/>
      <c r="BL98" s="275" t="s">
        <v>1452</v>
      </c>
      <c r="BM98" s="47" t="s">
        <v>109</v>
      </c>
      <c r="BN98" s="37" t="s">
        <v>110</v>
      </c>
      <c r="BO98" s="47">
        <v>2025.04</v>
      </c>
      <c r="BP98" s="58" t="s">
        <v>1453</v>
      </c>
      <c r="BQ98" s="269" t="s">
        <v>1454</v>
      </c>
      <c r="BR98" s="47">
        <v>2025.04</v>
      </c>
      <c r="BS98" s="47" t="s">
        <v>111</v>
      </c>
      <c r="BT98" s="47"/>
      <c r="BU98" s="208" t="s">
        <v>164</v>
      </c>
      <c r="BV98" s="47"/>
      <c r="BW98" s="47"/>
      <c r="BX98" s="200" t="s">
        <v>1455</v>
      </c>
      <c r="BY98" s="224">
        <v>1982</v>
      </c>
      <c r="BZ98" s="165">
        <v>4</v>
      </c>
      <c r="CA98" s="165">
        <v>17</v>
      </c>
    </row>
    <row r="99" ht="44" customHeight="1" spans="1:79">
      <c r="A99" s="47">
        <v>98</v>
      </c>
      <c r="B99" s="47" t="s">
        <v>1456</v>
      </c>
      <c r="C99" s="47" t="s">
        <v>1457</v>
      </c>
      <c r="D99" s="111" t="s">
        <v>102</v>
      </c>
      <c r="E99" s="47" t="s">
        <v>81</v>
      </c>
      <c r="F99" s="47" t="s">
        <v>144</v>
      </c>
      <c r="G99" s="149" t="s">
        <v>1362</v>
      </c>
      <c r="H99" s="123">
        <v>45759</v>
      </c>
      <c r="I99" s="47">
        <v>13431366893</v>
      </c>
      <c r="J99" s="270" t="s">
        <v>1458</v>
      </c>
      <c r="K99" s="47" t="s">
        <v>116</v>
      </c>
      <c r="L99" s="37" t="s">
        <v>1459</v>
      </c>
      <c r="M99" s="47" t="s">
        <v>149</v>
      </c>
      <c r="N99" s="37" t="s">
        <v>1459</v>
      </c>
      <c r="O99" s="32" t="str">
        <f t="shared" si="10"/>
        <v>1976-03-02</v>
      </c>
      <c r="P99" s="34">
        <f ca="1" t="shared" si="9"/>
        <v>50</v>
      </c>
      <c r="Q99" s="47">
        <f ca="1" t="shared" si="11"/>
        <v>1</v>
      </c>
      <c r="R99" s="47" t="s">
        <v>88</v>
      </c>
      <c r="S99" s="47" t="s">
        <v>89</v>
      </c>
      <c r="T99" s="47" t="s">
        <v>90</v>
      </c>
      <c r="U99" s="47" t="s">
        <v>91</v>
      </c>
      <c r="V99" s="47" t="s">
        <v>92</v>
      </c>
      <c r="W99" s="165"/>
      <c r="X99" s="165"/>
      <c r="Y99" s="149"/>
      <c r="Z99" s="165"/>
      <c r="AA99" s="165"/>
      <c r="AB99" s="149"/>
      <c r="AC99" s="165"/>
      <c r="AD99" s="165"/>
      <c r="AE99" s="165"/>
      <c r="AF99" s="47"/>
      <c r="AG99" s="149"/>
      <c r="AH99" s="149"/>
      <c r="AI99" s="165"/>
      <c r="AJ99" s="165"/>
      <c r="AK99" s="165"/>
      <c r="AL99" s="165"/>
      <c r="AM99" s="165"/>
      <c r="AN99" s="111" t="s">
        <v>99</v>
      </c>
      <c r="AO99" s="37" t="s">
        <v>1459</v>
      </c>
      <c r="AP99" s="47" t="s">
        <v>104</v>
      </c>
      <c r="AQ99" s="47" t="s">
        <v>1460</v>
      </c>
      <c r="AR99" s="47" t="s">
        <v>214</v>
      </c>
      <c r="AS99" s="165"/>
      <c r="AT99" s="149"/>
      <c r="AU99" s="47" t="s">
        <v>1460</v>
      </c>
      <c r="AV99" s="47" t="s">
        <v>104</v>
      </c>
      <c r="AW99" s="47">
        <v>13886930053</v>
      </c>
      <c r="AX99" s="37" t="s">
        <v>1461</v>
      </c>
      <c r="AY99" s="47">
        <v>1</v>
      </c>
      <c r="AZ99" s="123">
        <v>45759</v>
      </c>
      <c r="BA99" s="123">
        <v>46123</v>
      </c>
      <c r="BB99" s="47" t="s">
        <v>106</v>
      </c>
      <c r="BC99" s="165"/>
      <c r="BD99" s="165"/>
      <c r="BE99" s="123"/>
      <c r="BF99" s="165"/>
      <c r="BG99" s="165"/>
      <c r="BH99" s="37" t="s">
        <v>1462</v>
      </c>
      <c r="BI99" s="165"/>
      <c r="BJ99" s="165"/>
      <c r="BK99" s="165"/>
      <c r="BL99" s="37" t="s">
        <v>1463</v>
      </c>
      <c r="BM99" s="47" t="s">
        <v>109</v>
      </c>
      <c r="BN99" s="37" t="s">
        <v>110</v>
      </c>
      <c r="BO99" s="47">
        <v>2025.05</v>
      </c>
      <c r="BP99" s="165"/>
      <c r="BQ99" s="165"/>
      <c r="BR99" s="47">
        <v>2025.05</v>
      </c>
      <c r="BS99" s="47" t="s">
        <v>111</v>
      </c>
      <c r="BT99" s="47"/>
      <c r="BU99" s="63" t="s">
        <v>1464</v>
      </c>
      <c r="BV99" s="165"/>
      <c r="BW99" s="165"/>
      <c r="BX99" s="220" t="s">
        <v>1465</v>
      </c>
      <c r="BY99" s="224">
        <v>1976</v>
      </c>
      <c r="BZ99" s="165">
        <v>3</v>
      </c>
      <c r="CA99" s="165">
        <v>2</v>
      </c>
    </row>
    <row r="100" s="106" customFormat="1" ht="61" spans="1:79">
      <c r="A100" s="47">
        <v>99</v>
      </c>
      <c r="B100" s="47" t="s">
        <v>1466</v>
      </c>
      <c r="C100" s="37" t="s">
        <v>1467</v>
      </c>
      <c r="D100" s="58" t="s">
        <v>214</v>
      </c>
      <c r="E100" s="37" t="s">
        <v>139</v>
      </c>
      <c r="F100" s="37" t="s">
        <v>144</v>
      </c>
      <c r="G100" s="37" t="s">
        <v>1468</v>
      </c>
      <c r="H100" s="175">
        <v>45761</v>
      </c>
      <c r="I100" s="37">
        <v>13971354070</v>
      </c>
      <c r="J100" s="37" t="s">
        <v>1469</v>
      </c>
      <c r="K100" s="47" t="s">
        <v>116</v>
      </c>
      <c r="L100" s="37" t="s">
        <v>1470</v>
      </c>
      <c r="M100" s="47" t="s">
        <v>149</v>
      </c>
      <c r="N100" s="37" t="s">
        <v>1470</v>
      </c>
      <c r="O100" s="32" t="str">
        <f t="shared" si="10"/>
        <v>1996-08-24</v>
      </c>
      <c r="P100" s="34">
        <f ca="1" t="shared" si="9"/>
        <v>30</v>
      </c>
      <c r="Q100" s="47">
        <f ca="1" t="shared" si="11"/>
        <v>1</v>
      </c>
      <c r="R100" s="37" t="s">
        <v>88</v>
      </c>
      <c r="S100" s="47" t="s">
        <v>89</v>
      </c>
      <c r="T100" s="47" t="s">
        <v>90</v>
      </c>
      <c r="U100" s="37" t="s">
        <v>91</v>
      </c>
      <c r="V100" s="37" t="s">
        <v>92</v>
      </c>
      <c r="W100" s="147"/>
      <c r="X100" s="147"/>
      <c r="Y100" s="213" t="s">
        <v>1471</v>
      </c>
      <c r="Z100" s="147"/>
      <c r="AA100" s="147"/>
      <c r="AB100" s="213" t="s">
        <v>1472</v>
      </c>
      <c r="AC100" s="147"/>
      <c r="AD100" s="147"/>
      <c r="AE100" s="147"/>
      <c r="AF100" s="37" t="s">
        <v>406</v>
      </c>
      <c r="AG100" s="213" t="s">
        <v>1473</v>
      </c>
      <c r="AH100" s="213" t="s">
        <v>1474</v>
      </c>
      <c r="AI100" s="147"/>
      <c r="AJ100" s="147"/>
      <c r="AK100" s="147"/>
      <c r="AL100" s="147"/>
      <c r="AM100" s="147"/>
      <c r="AN100" s="47" t="s">
        <v>194</v>
      </c>
      <c r="AO100" s="37" t="s">
        <v>1470</v>
      </c>
      <c r="AP100" s="47" t="s">
        <v>100</v>
      </c>
      <c r="AQ100" s="37" t="s">
        <v>1475</v>
      </c>
      <c r="AR100" s="37" t="s">
        <v>102</v>
      </c>
      <c r="AS100" s="147"/>
      <c r="AT100" s="213"/>
      <c r="AU100" s="37" t="s">
        <v>1475</v>
      </c>
      <c r="AV100" s="47" t="s">
        <v>100</v>
      </c>
      <c r="AW100" s="37">
        <v>13971848322</v>
      </c>
      <c r="AX100" s="37" t="s">
        <v>1476</v>
      </c>
      <c r="AY100" s="47">
        <v>1</v>
      </c>
      <c r="AZ100" s="123">
        <v>45761</v>
      </c>
      <c r="BA100" s="123">
        <v>46125</v>
      </c>
      <c r="BB100" s="47" t="s">
        <v>106</v>
      </c>
      <c r="BC100" s="147"/>
      <c r="BD100" s="147"/>
      <c r="BE100" s="175"/>
      <c r="BF100" s="147"/>
      <c r="BG100" s="147"/>
      <c r="BH100" s="37"/>
      <c r="BI100" s="147"/>
      <c r="BJ100" s="147"/>
      <c r="BK100" s="147"/>
      <c r="BL100" s="269" t="s">
        <v>1477</v>
      </c>
      <c r="BM100" s="47" t="s">
        <v>109</v>
      </c>
      <c r="BN100" s="37" t="s">
        <v>110</v>
      </c>
      <c r="BO100" s="47">
        <v>2025.05</v>
      </c>
      <c r="BP100" s="147"/>
      <c r="BQ100" s="147"/>
      <c r="BR100" s="47">
        <v>2025.05</v>
      </c>
      <c r="BS100" s="47" t="s">
        <v>111</v>
      </c>
      <c r="BT100" s="37">
        <v>504</v>
      </c>
      <c r="BU100" s="221" t="s">
        <v>1431</v>
      </c>
      <c r="BV100" s="147"/>
      <c r="BW100" s="147"/>
      <c r="BX100" s="220" t="s">
        <v>1465</v>
      </c>
      <c r="BY100" s="255">
        <v>1996</v>
      </c>
      <c r="BZ100" s="147">
        <v>8</v>
      </c>
      <c r="CA100" s="147">
        <v>24</v>
      </c>
    </row>
    <row r="101" customFormat="1" ht="76" spans="1:80">
      <c r="A101" s="47">
        <v>100</v>
      </c>
      <c r="B101" s="47" t="s">
        <v>1478</v>
      </c>
      <c r="C101" s="47" t="s">
        <v>1479</v>
      </c>
      <c r="D101" s="111" t="s">
        <v>102</v>
      </c>
      <c r="E101" s="47" t="s">
        <v>417</v>
      </c>
      <c r="F101" s="47" t="s">
        <v>144</v>
      </c>
      <c r="G101" s="58" t="s">
        <v>516</v>
      </c>
      <c r="H101" s="123">
        <v>45783</v>
      </c>
      <c r="I101" s="47">
        <v>13657156482</v>
      </c>
      <c r="J101" s="270" t="s">
        <v>1480</v>
      </c>
      <c r="K101" s="47" t="s">
        <v>116</v>
      </c>
      <c r="L101" s="37" t="s">
        <v>1481</v>
      </c>
      <c r="M101" s="37" t="s">
        <v>87</v>
      </c>
      <c r="N101" s="37" t="s">
        <v>1482</v>
      </c>
      <c r="O101" s="32" t="str">
        <f t="shared" si="10"/>
        <v>1969-11-15</v>
      </c>
      <c r="P101" s="34">
        <f ca="1" t="shared" si="9"/>
        <v>57</v>
      </c>
      <c r="Q101" s="47">
        <f ca="1" t="shared" si="11"/>
        <v>1</v>
      </c>
      <c r="R101" s="37" t="s">
        <v>88</v>
      </c>
      <c r="S101" s="47" t="s">
        <v>89</v>
      </c>
      <c r="T101" s="47" t="s">
        <v>90</v>
      </c>
      <c r="U101" s="37" t="s">
        <v>91</v>
      </c>
      <c r="V101" s="37" t="s">
        <v>92</v>
      </c>
      <c r="W101" s="165"/>
      <c r="X101" s="165"/>
      <c r="Y101" s="149"/>
      <c r="Z101" s="165"/>
      <c r="AA101" s="165"/>
      <c r="AB101" s="149"/>
      <c r="AC101" s="165"/>
      <c r="AD101" s="165"/>
      <c r="AE101" s="165"/>
      <c r="AF101" s="47" t="s">
        <v>122</v>
      </c>
      <c r="AG101" s="149"/>
      <c r="AH101" s="149"/>
      <c r="AI101" s="165"/>
      <c r="AJ101" s="165"/>
      <c r="AK101" s="165"/>
      <c r="AL101" s="165"/>
      <c r="AM101" s="165"/>
      <c r="AN101" s="111" t="s">
        <v>99</v>
      </c>
      <c r="AO101" s="37" t="s">
        <v>1482</v>
      </c>
      <c r="AP101" s="47" t="s">
        <v>104</v>
      </c>
      <c r="AQ101" s="47" t="s">
        <v>1483</v>
      </c>
      <c r="AR101" s="47" t="s">
        <v>214</v>
      </c>
      <c r="AS101" s="165">
        <v>55</v>
      </c>
      <c r="AT101" s="149"/>
      <c r="AU101" s="47" t="s">
        <v>1483</v>
      </c>
      <c r="AV101" s="47" t="s">
        <v>104</v>
      </c>
      <c r="AW101" s="47">
        <v>15818739378</v>
      </c>
      <c r="AX101" s="37" t="s">
        <v>1484</v>
      </c>
      <c r="AY101" s="47"/>
      <c r="AZ101" s="123">
        <v>45783</v>
      </c>
      <c r="BA101" s="123">
        <v>46147</v>
      </c>
      <c r="BB101" s="47" t="s">
        <v>1407</v>
      </c>
      <c r="BC101" s="165"/>
      <c r="BD101" s="165"/>
      <c r="BE101" s="123"/>
      <c r="BF101" s="165"/>
      <c r="BG101" s="165"/>
      <c r="BH101" s="37"/>
      <c r="BI101" s="165"/>
      <c r="BJ101" s="165"/>
      <c r="BK101" s="165"/>
      <c r="BL101" s="269" t="s">
        <v>1485</v>
      </c>
      <c r="BM101" s="47" t="s">
        <v>109</v>
      </c>
      <c r="BN101" s="37" t="s">
        <v>110</v>
      </c>
      <c r="BO101" s="47">
        <v>2026.06</v>
      </c>
      <c r="BP101" s="165"/>
      <c r="BQ101" s="165"/>
      <c r="BR101" s="47">
        <v>2026.06</v>
      </c>
      <c r="BS101" s="47" t="s">
        <v>1486</v>
      </c>
      <c r="BT101" s="47"/>
      <c r="BU101" s="63" t="s">
        <v>1487</v>
      </c>
      <c r="BV101" s="165"/>
      <c r="BW101" s="165"/>
      <c r="BX101" s="220" t="s">
        <v>1488</v>
      </c>
      <c r="BY101" s="224"/>
      <c r="BZ101" s="165"/>
      <c r="CA101" s="165"/>
      <c r="CB101" s="105"/>
    </row>
  </sheetData>
  <autoFilter ref="A1:CB101">
    <extLst/>
  </autoFilter>
  <conditionalFormatting sqref="O2:O8 O10:O101">
    <cfRule type="duplicateValues" dxfId="0" priority="1"/>
    <cfRule type="duplicateValues" dxfId="1" priority="2"/>
  </conditionalFormatting>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53"/>
  <sheetViews>
    <sheetView workbookViewId="0">
      <pane xSplit="5" ySplit="2" topLeftCell="AY90" activePane="bottomRight" state="frozenSplit"/>
      <selection/>
      <selection pane="topRight"/>
      <selection pane="bottomLeft"/>
      <selection pane="bottomRight" activeCell="A94" sqref="$A94:$XFD94"/>
    </sheetView>
  </sheetViews>
  <sheetFormatPr defaultColWidth="9" defaultRowHeight="16.8"/>
  <cols>
    <col min="1" max="1" width="4.5" customWidth="1"/>
    <col min="2" max="2" width="9.125" customWidth="1"/>
    <col min="3" max="3" width="7.625" customWidth="1"/>
    <col min="4" max="4" width="5.75" customWidth="1"/>
    <col min="5" max="5" width="12.125" customWidth="1"/>
    <col min="6" max="6" width="23.25" customWidth="1"/>
    <col min="7" max="7" width="12.125" customWidth="1"/>
    <col min="8" max="8" width="10.125" customWidth="1"/>
    <col min="9" max="9" width="12.625" customWidth="1"/>
    <col min="10" max="10" width="18.125" customWidth="1"/>
    <col min="11" max="15" width="9" customWidth="1"/>
    <col min="16" max="16" width="5" customWidth="1"/>
    <col min="17" max="17" width="4.75" customWidth="1"/>
    <col min="18" max="18" width="5" customWidth="1"/>
    <col min="19" max="19" width="9" customWidth="1"/>
    <col min="20" max="20" width="6" customWidth="1"/>
    <col min="21" max="48" width="9" customWidth="1"/>
    <col min="49" max="49" width="11.125" customWidth="1"/>
    <col min="50" max="50" width="9.375" style="104" customWidth="1"/>
    <col min="51" max="51" width="9" customWidth="1"/>
    <col min="52" max="52" width="10.875" customWidth="1"/>
    <col min="53" max="53" width="10.125" customWidth="1"/>
    <col min="54" max="56" width="9" customWidth="1"/>
    <col min="57" max="57" width="9.25" style="107" customWidth="1"/>
    <col min="59" max="59" width="9.25"/>
    <col min="62" max="62" width="9.875"/>
    <col min="64" max="64" width="9.75" customWidth="1"/>
    <col min="65" max="65" width="10.125" customWidth="1"/>
    <col min="76" max="76" width="14.25" customWidth="1"/>
  </cols>
  <sheetData>
    <row r="1" ht="26" customHeight="1" spans="1:76">
      <c r="A1" s="11"/>
      <c r="B1" s="12" t="s">
        <v>1489</v>
      </c>
      <c r="C1" s="13"/>
      <c r="D1" s="13"/>
      <c r="E1" s="22"/>
      <c r="F1" s="13"/>
      <c r="G1" s="31"/>
      <c r="H1" s="13"/>
      <c r="I1" s="13"/>
      <c r="J1" s="13"/>
      <c r="K1" s="13"/>
      <c r="L1" s="31"/>
      <c r="M1" s="13"/>
      <c r="N1" s="31"/>
      <c r="O1" s="13"/>
      <c r="P1" s="13"/>
      <c r="Q1" s="13"/>
      <c r="R1" s="13"/>
      <c r="S1" s="13"/>
      <c r="T1" s="13"/>
      <c r="U1" s="35"/>
      <c r="V1" s="12" t="s">
        <v>1</v>
      </c>
      <c r="W1" s="22"/>
      <c r="X1" s="35"/>
      <c r="Y1" s="38" t="s">
        <v>2</v>
      </c>
      <c r="Z1" s="13"/>
      <c r="AA1" s="13"/>
      <c r="AB1" s="13"/>
      <c r="AC1" s="13"/>
      <c r="AD1" s="13"/>
      <c r="AE1" s="13"/>
      <c r="AF1" s="12" t="s">
        <v>3</v>
      </c>
      <c r="AG1" s="31"/>
      <c r="AH1" s="13"/>
      <c r="AI1" s="13"/>
      <c r="AJ1" s="13"/>
      <c r="AK1" s="13"/>
      <c r="AL1" s="13"/>
      <c r="AM1" s="35"/>
      <c r="AN1" s="12" t="s">
        <v>4</v>
      </c>
      <c r="AO1" s="13"/>
      <c r="AP1" s="13"/>
      <c r="AQ1" s="13"/>
      <c r="AR1" s="13"/>
      <c r="AS1" s="13"/>
      <c r="AT1" s="13"/>
      <c r="AU1" s="13"/>
      <c r="AV1" s="13"/>
      <c r="AW1" s="13"/>
      <c r="AX1" s="56" t="s">
        <v>5</v>
      </c>
      <c r="AY1" s="13"/>
      <c r="AZ1" s="13"/>
      <c r="BA1" s="13"/>
      <c r="BB1" s="13"/>
      <c r="BC1" s="13"/>
      <c r="BD1" s="13"/>
      <c r="BE1" s="57"/>
      <c r="BF1" s="13"/>
      <c r="BG1" s="13"/>
      <c r="BH1" s="35"/>
      <c r="BI1" s="56" t="s">
        <v>6</v>
      </c>
      <c r="BJ1" s="57"/>
      <c r="BK1" s="57"/>
      <c r="BL1" s="57"/>
      <c r="BM1" s="57"/>
      <c r="BN1" s="57"/>
      <c r="BO1" s="57"/>
      <c r="BP1" s="57"/>
      <c r="BQ1" s="57"/>
      <c r="BR1" s="60"/>
      <c r="BS1" s="61" t="s">
        <v>7</v>
      </c>
      <c r="BT1" s="61"/>
      <c r="BU1" s="61"/>
      <c r="BV1" s="61"/>
      <c r="BW1" s="61"/>
      <c r="BX1" s="165" t="s">
        <v>130</v>
      </c>
    </row>
    <row r="2" s="100" customFormat="1" ht="27" customHeight="1" spans="1:76">
      <c r="A2" s="108" t="s">
        <v>8</v>
      </c>
      <c r="B2" s="109" t="s">
        <v>9</v>
      </c>
      <c r="C2" s="109" t="s">
        <v>10</v>
      </c>
      <c r="D2" s="109" t="s">
        <v>11</v>
      </c>
      <c r="E2" s="109" t="s">
        <v>12</v>
      </c>
      <c r="F2" s="109" t="s">
        <v>13</v>
      </c>
      <c r="G2" s="72" t="s">
        <v>14</v>
      </c>
      <c r="H2" s="109" t="s">
        <v>15</v>
      </c>
      <c r="I2" s="109" t="s">
        <v>16</v>
      </c>
      <c r="J2" s="109" t="s">
        <v>17</v>
      </c>
      <c r="K2" s="109" t="s">
        <v>18</v>
      </c>
      <c r="L2" s="72" t="s">
        <v>19</v>
      </c>
      <c r="M2" s="109" t="s">
        <v>20</v>
      </c>
      <c r="N2" s="72" t="s">
        <v>21</v>
      </c>
      <c r="O2" s="109" t="s">
        <v>22</v>
      </c>
      <c r="P2" s="109" t="s">
        <v>23</v>
      </c>
      <c r="Q2" s="109" t="s">
        <v>24</v>
      </c>
      <c r="R2" s="109" t="s">
        <v>25</v>
      </c>
      <c r="S2" s="109" t="s">
        <v>26</v>
      </c>
      <c r="T2" s="72" t="s">
        <v>132</v>
      </c>
      <c r="U2" s="109" t="s">
        <v>28</v>
      </c>
      <c r="V2" s="109" t="s">
        <v>29</v>
      </c>
      <c r="W2" s="109" t="s">
        <v>30</v>
      </c>
      <c r="X2" s="109" t="s">
        <v>31</v>
      </c>
      <c r="Y2" s="147" t="s">
        <v>32</v>
      </c>
      <c r="Z2" s="109" t="s">
        <v>33</v>
      </c>
      <c r="AA2" s="109" t="s">
        <v>34</v>
      </c>
      <c r="AB2" s="109" t="s">
        <v>35</v>
      </c>
      <c r="AC2" s="109" t="s">
        <v>36</v>
      </c>
      <c r="AD2" s="109" t="s">
        <v>37</v>
      </c>
      <c r="AE2" s="109" t="s">
        <v>38</v>
      </c>
      <c r="AF2" s="109" t="s">
        <v>39</v>
      </c>
      <c r="AG2" s="147" t="s">
        <v>40</v>
      </c>
      <c r="AH2" s="109" t="s">
        <v>41</v>
      </c>
      <c r="AI2" s="109" t="s">
        <v>33</v>
      </c>
      <c r="AJ2" s="109" t="s">
        <v>34</v>
      </c>
      <c r="AK2" s="108" t="s">
        <v>42</v>
      </c>
      <c r="AL2" s="159" t="s">
        <v>43</v>
      </c>
      <c r="AM2" s="160" t="s">
        <v>44</v>
      </c>
      <c r="AN2" s="161" t="s">
        <v>133</v>
      </c>
      <c r="AO2" s="109" t="s">
        <v>46</v>
      </c>
      <c r="AP2" s="164" t="s">
        <v>47</v>
      </c>
      <c r="AQ2" s="165" t="s">
        <v>10</v>
      </c>
      <c r="AR2" s="109" t="s">
        <v>11</v>
      </c>
      <c r="AS2" s="108" t="s">
        <v>23</v>
      </c>
      <c r="AT2" s="109" t="s">
        <v>48</v>
      </c>
      <c r="AU2" s="164" t="s">
        <v>49</v>
      </c>
      <c r="AV2" s="166" t="s">
        <v>50</v>
      </c>
      <c r="AW2" s="108" t="s">
        <v>51</v>
      </c>
      <c r="AX2" s="72" t="s">
        <v>52</v>
      </c>
      <c r="AY2" s="164" t="s">
        <v>53</v>
      </c>
      <c r="AZ2" s="167" t="s">
        <v>54</v>
      </c>
      <c r="BA2" s="109" t="s">
        <v>55</v>
      </c>
      <c r="BB2" s="167" t="s">
        <v>56</v>
      </c>
      <c r="BC2" s="109" t="s">
        <v>57</v>
      </c>
      <c r="BD2" s="167" t="s">
        <v>58</v>
      </c>
      <c r="BE2" s="187" t="s">
        <v>59</v>
      </c>
      <c r="BF2" s="164" t="s">
        <v>60</v>
      </c>
      <c r="BG2" s="109" t="s">
        <v>61</v>
      </c>
      <c r="BH2" s="72" t="s">
        <v>62</v>
      </c>
      <c r="BI2" s="72" t="s">
        <v>63</v>
      </c>
      <c r="BJ2" s="72" t="s">
        <v>64</v>
      </c>
      <c r="BK2" s="165" t="s">
        <v>65</v>
      </c>
      <c r="BL2" s="72" t="s">
        <v>66</v>
      </c>
      <c r="BM2" s="109" t="s">
        <v>67</v>
      </c>
      <c r="BN2" s="109" t="s">
        <v>68</v>
      </c>
      <c r="BO2" s="72" t="s">
        <v>69</v>
      </c>
      <c r="BP2" s="109" t="s">
        <v>70</v>
      </c>
      <c r="BQ2" s="72" t="s">
        <v>71</v>
      </c>
      <c r="BR2" s="72" t="s">
        <v>72</v>
      </c>
      <c r="BS2" s="108" t="s">
        <v>73</v>
      </c>
      <c r="BT2" s="108" t="s">
        <v>74</v>
      </c>
      <c r="BU2" s="165" t="s">
        <v>75</v>
      </c>
      <c r="BV2" s="165" t="s">
        <v>76</v>
      </c>
      <c r="BW2" s="165" t="s">
        <v>77</v>
      </c>
      <c r="BX2" s="165"/>
    </row>
    <row r="3" s="1" customFormat="1" ht="24" customHeight="1" spans="1:76">
      <c r="A3" s="7">
        <v>1</v>
      </c>
      <c r="B3" s="29" t="s">
        <v>1490</v>
      </c>
      <c r="C3" s="47" t="s">
        <v>1491</v>
      </c>
      <c r="D3" s="8" t="str">
        <f t="shared" ref="D3:D24" si="0">IF(MOD(MID(J3,17,1),2)=1,"男","女")</f>
        <v>女</v>
      </c>
      <c r="E3" s="9" t="s">
        <v>1492</v>
      </c>
      <c r="F3" s="9" t="s">
        <v>144</v>
      </c>
      <c r="G3" s="115" t="s">
        <v>1493</v>
      </c>
      <c r="H3" s="21">
        <v>45271</v>
      </c>
      <c r="I3" s="7">
        <v>13581345059</v>
      </c>
      <c r="J3" s="270" t="s">
        <v>1494</v>
      </c>
      <c r="K3" s="74" t="s">
        <v>116</v>
      </c>
      <c r="L3" s="129" t="s">
        <v>1495</v>
      </c>
      <c r="M3" s="7" t="s">
        <v>149</v>
      </c>
      <c r="N3" s="28" t="s">
        <v>1496</v>
      </c>
      <c r="O3" s="32" t="s">
        <v>1497</v>
      </c>
      <c r="P3" s="33">
        <v>54.7917808219178</v>
      </c>
      <c r="Q3" s="9">
        <f ca="1">IF(H3="","",DATEDIF(H3,TODAY(),"Y"))</f>
        <v>2</v>
      </c>
      <c r="R3" s="28" t="s">
        <v>88</v>
      </c>
      <c r="S3" s="7" t="s">
        <v>403</v>
      </c>
      <c r="T3" s="29" t="s">
        <v>90</v>
      </c>
      <c r="U3" s="7" t="s">
        <v>91</v>
      </c>
      <c r="V3" s="9" t="s">
        <v>92</v>
      </c>
      <c r="W3" s="9"/>
      <c r="X3" s="9"/>
      <c r="Y3" s="47" t="s">
        <v>1498</v>
      </c>
      <c r="Z3" s="9"/>
      <c r="AA3" s="9"/>
      <c r="AB3" s="9"/>
      <c r="AC3" s="9"/>
      <c r="AD3" s="9"/>
      <c r="AE3" s="9"/>
      <c r="AF3" s="8" t="s">
        <v>122</v>
      </c>
      <c r="AG3" s="40"/>
      <c r="AH3" s="40"/>
      <c r="AI3" s="9"/>
      <c r="AJ3" s="9"/>
      <c r="AK3" s="7"/>
      <c r="AL3" s="7"/>
      <c r="AM3" s="45"/>
      <c r="AN3" s="46" t="s">
        <v>99</v>
      </c>
      <c r="AO3" s="28" t="s">
        <v>1496</v>
      </c>
      <c r="AP3" s="49" t="s">
        <v>331</v>
      </c>
      <c r="AQ3" s="7" t="s">
        <v>1499</v>
      </c>
      <c r="AR3" s="9" t="s">
        <v>214</v>
      </c>
      <c r="AS3" s="7">
        <v>30</v>
      </c>
      <c r="AT3" s="9" t="s">
        <v>178</v>
      </c>
      <c r="AU3" s="7" t="s">
        <v>1499</v>
      </c>
      <c r="AV3" s="7" t="s">
        <v>331</v>
      </c>
      <c r="AW3" s="7">
        <v>13886948980</v>
      </c>
      <c r="AX3" s="49" t="s">
        <v>1500</v>
      </c>
      <c r="AY3" s="168"/>
      <c r="AZ3" s="169">
        <v>45271</v>
      </c>
      <c r="BA3" s="182">
        <v>45361</v>
      </c>
      <c r="BB3" s="9" t="s">
        <v>106</v>
      </c>
      <c r="BC3" s="183"/>
      <c r="BD3" s="53"/>
      <c r="BE3" s="24">
        <v>45307</v>
      </c>
      <c r="BF3" s="188" t="s">
        <v>1501</v>
      </c>
      <c r="BG3" s="53"/>
      <c r="BH3" s="40"/>
      <c r="BI3" s="49"/>
      <c r="BJ3" s="49"/>
      <c r="BK3" s="47"/>
      <c r="BL3" s="277" t="s">
        <v>1502</v>
      </c>
      <c r="BM3" s="7"/>
      <c r="BN3" s="9"/>
      <c r="BO3" s="7"/>
      <c r="BP3" s="58"/>
      <c r="BQ3" s="49"/>
      <c r="BR3" s="7"/>
      <c r="BS3" s="7" t="s">
        <v>274</v>
      </c>
      <c r="BT3" s="7"/>
      <c r="BU3" s="199" t="s">
        <v>1111</v>
      </c>
      <c r="BV3" s="47"/>
      <c r="BW3" s="47"/>
      <c r="BX3" s="180" t="s">
        <v>403</v>
      </c>
    </row>
    <row r="4" s="101" customFormat="1" ht="24" customHeight="1" spans="1:76">
      <c r="A4" s="7">
        <v>2</v>
      </c>
      <c r="B4" s="9" t="s">
        <v>1503</v>
      </c>
      <c r="C4" s="58" t="s">
        <v>1504</v>
      </c>
      <c r="D4" s="8" t="str">
        <f t="shared" si="0"/>
        <v>女</v>
      </c>
      <c r="E4" s="9" t="s">
        <v>1492</v>
      </c>
      <c r="F4" s="9" t="s">
        <v>144</v>
      </c>
      <c r="G4" s="116" t="s">
        <v>247</v>
      </c>
      <c r="H4" s="18">
        <v>42976</v>
      </c>
      <c r="I4" s="130">
        <v>13277662816</v>
      </c>
      <c r="J4" s="27" t="s">
        <v>1505</v>
      </c>
      <c r="K4" s="28" t="s">
        <v>205</v>
      </c>
      <c r="L4" s="28" t="s">
        <v>1506</v>
      </c>
      <c r="M4" s="9" t="s">
        <v>149</v>
      </c>
      <c r="N4" s="28" t="s">
        <v>387</v>
      </c>
      <c r="O4" s="32" t="s">
        <v>1507</v>
      </c>
      <c r="P4" s="33">
        <v>54.5753424657534</v>
      </c>
      <c r="Q4" s="9">
        <f ca="1">IF(H4="","",DATEDIF(H4,TODAY(),"Y"))</f>
        <v>8</v>
      </c>
      <c r="R4" s="28" t="s">
        <v>88</v>
      </c>
      <c r="S4" s="9" t="s">
        <v>245</v>
      </c>
      <c r="T4" s="28" t="s">
        <v>90</v>
      </c>
      <c r="U4" s="9" t="s">
        <v>91</v>
      </c>
      <c r="V4" s="9" t="s">
        <v>92</v>
      </c>
      <c r="W4" s="9"/>
      <c r="X4" s="9"/>
      <c r="Y4" s="37"/>
      <c r="Z4" s="9"/>
      <c r="AA4" s="9"/>
      <c r="AB4" s="9"/>
      <c r="AC4" s="9"/>
      <c r="AD4" s="9"/>
      <c r="AE4" s="9"/>
      <c r="AF4" s="28" t="s">
        <v>122</v>
      </c>
      <c r="AG4" s="49"/>
      <c r="AH4" s="28"/>
      <c r="AI4" s="9"/>
      <c r="AJ4" s="9"/>
      <c r="AK4" s="9"/>
      <c r="AL4" s="9"/>
      <c r="AM4" s="45"/>
      <c r="AN4" s="46" t="s">
        <v>99</v>
      </c>
      <c r="AO4" s="28" t="s">
        <v>387</v>
      </c>
      <c r="AP4" s="102" t="s">
        <v>176</v>
      </c>
      <c r="AQ4" s="49" t="s">
        <v>1508</v>
      </c>
      <c r="AR4" s="9" t="s">
        <v>102</v>
      </c>
      <c r="AS4" s="9">
        <v>56</v>
      </c>
      <c r="AT4" s="9" t="s">
        <v>178</v>
      </c>
      <c r="AU4" s="9" t="s">
        <v>1509</v>
      </c>
      <c r="AV4" s="9" t="s">
        <v>427</v>
      </c>
      <c r="AW4" s="28">
        <v>15118278939</v>
      </c>
      <c r="AX4" s="49" t="s">
        <v>1510</v>
      </c>
      <c r="AY4" s="9">
        <v>7</v>
      </c>
      <c r="AZ4" s="50">
        <v>43070</v>
      </c>
      <c r="BA4" s="184">
        <v>45535</v>
      </c>
      <c r="BB4" s="9" t="s">
        <v>106</v>
      </c>
      <c r="BC4" s="185"/>
      <c r="BD4" s="53"/>
      <c r="BE4" s="24">
        <v>45322</v>
      </c>
      <c r="BF4" s="188" t="s">
        <v>1511</v>
      </c>
      <c r="BG4" s="53"/>
      <c r="BH4" s="49" t="s">
        <v>1512</v>
      </c>
      <c r="BI4" s="49"/>
      <c r="BJ4" s="49"/>
      <c r="BK4" s="47"/>
      <c r="BL4" s="278" t="s">
        <v>1513</v>
      </c>
      <c r="BM4" s="9"/>
      <c r="BN4" s="9"/>
      <c r="BO4" s="9"/>
      <c r="BP4" s="58" t="s">
        <v>1514</v>
      </c>
      <c r="BQ4" s="279" t="s">
        <v>1515</v>
      </c>
      <c r="BR4" s="9"/>
      <c r="BS4" s="9" t="s">
        <v>111</v>
      </c>
      <c r="BT4" s="9"/>
      <c r="BU4" s="199" t="s">
        <v>164</v>
      </c>
      <c r="BV4" s="47"/>
      <c r="BW4" s="47"/>
      <c r="BX4" s="200">
        <v>43070</v>
      </c>
    </row>
    <row r="5" s="101" customFormat="1" ht="24" customHeight="1" spans="1:76">
      <c r="A5" s="7">
        <v>3</v>
      </c>
      <c r="B5" s="9" t="s">
        <v>1516</v>
      </c>
      <c r="C5" s="28" t="s">
        <v>410</v>
      </c>
      <c r="D5" s="8" t="str">
        <f t="shared" si="0"/>
        <v>男</v>
      </c>
      <c r="E5" s="9" t="s">
        <v>1492</v>
      </c>
      <c r="F5" s="9" t="s">
        <v>144</v>
      </c>
      <c r="G5" s="117" t="s">
        <v>1517</v>
      </c>
      <c r="H5" s="118">
        <v>42309</v>
      </c>
      <c r="I5" s="58">
        <v>15972619098</v>
      </c>
      <c r="J5" s="131" t="s">
        <v>1518</v>
      </c>
      <c r="K5" s="28" t="s">
        <v>1519</v>
      </c>
      <c r="L5" s="28" t="s">
        <v>1520</v>
      </c>
      <c r="M5" s="9" t="s">
        <v>149</v>
      </c>
      <c r="N5" s="28" t="s">
        <v>387</v>
      </c>
      <c r="O5" s="32" t="s">
        <v>1521</v>
      </c>
      <c r="P5" s="33">
        <v>70.5506849315069</v>
      </c>
      <c r="Q5" s="9">
        <f ca="1">IF(H5="","",DATEDIF(H5,TODAY(),"Y"))</f>
        <v>10</v>
      </c>
      <c r="R5" s="28" t="s">
        <v>88</v>
      </c>
      <c r="S5" s="9" t="s">
        <v>245</v>
      </c>
      <c r="T5" s="58" t="s">
        <v>150</v>
      </c>
      <c r="U5" s="9" t="s">
        <v>91</v>
      </c>
      <c r="V5" s="9" t="s">
        <v>92</v>
      </c>
      <c r="W5" s="9"/>
      <c r="X5" s="9"/>
      <c r="Y5" s="37" t="s">
        <v>227</v>
      </c>
      <c r="Z5" s="9">
        <v>1999.12</v>
      </c>
      <c r="AA5" s="148">
        <v>2015.1</v>
      </c>
      <c r="AB5" s="9" t="s">
        <v>1522</v>
      </c>
      <c r="AC5" s="9"/>
      <c r="AD5" s="9"/>
      <c r="AE5" s="9"/>
      <c r="AF5" s="58" t="s">
        <v>122</v>
      </c>
      <c r="AG5" s="49" t="s">
        <v>1523</v>
      </c>
      <c r="AH5" s="58"/>
      <c r="AI5" s="9"/>
      <c r="AJ5" s="9"/>
      <c r="AK5" s="9"/>
      <c r="AL5" s="9"/>
      <c r="AM5" s="45"/>
      <c r="AN5" s="46" t="s">
        <v>99</v>
      </c>
      <c r="AO5" s="28" t="s">
        <v>387</v>
      </c>
      <c r="AP5" s="49" t="s">
        <v>212</v>
      </c>
      <c r="AQ5" s="47" t="s">
        <v>1524</v>
      </c>
      <c r="AR5" s="9" t="s">
        <v>214</v>
      </c>
      <c r="AS5" s="9">
        <v>68</v>
      </c>
      <c r="AT5" s="9" t="s">
        <v>159</v>
      </c>
      <c r="AU5" s="9" t="s">
        <v>1524</v>
      </c>
      <c r="AV5" s="9" t="s">
        <v>104</v>
      </c>
      <c r="AW5" s="58">
        <v>13593789057</v>
      </c>
      <c r="AX5" s="49" t="s">
        <v>1525</v>
      </c>
      <c r="AY5" s="9">
        <v>9</v>
      </c>
      <c r="AZ5" s="170">
        <v>42309</v>
      </c>
      <c r="BA5" s="184">
        <v>45565</v>
      </c>
      <c r="BB5" s="9" t="s">
        <v>233</v>
      </c>
      <c r="BC5" s="185"/>
      <c r="BD5" s="53"/>
      <c r="BE5" s="24">
        <v>45322</v>
      </c>
      <c r="BF5" s="188" t="s">
        <v>1511</v>
      </c>
      <c r="BG5" s="53"/>
      <c r="BH5" s="49" t="s">
        <v>1526</v>
      </c>
      <c r="BI5" s="49"/>
      <c r="BJ5" s="49"/>
      <c r="BK5" s="47"/>
      <c r="BL5" s="278" t="s">
        <v>1527</v>
      </c>
      <c r="BM5" s="9"/>
      <c r="BN5" s="9"/>
      <c r="BO5" s="9"/>
      <c r="BP5" s="58"/>
      <c r="BQ5" s="49"/>
      <c r="BR5" s="9"/>
      <c r="BS5" s="9" t="s">
        <v>111</v>
      </c>
      <c r="BT5" s="9"/>
      <c r="BU5" s="199" t="s">
        <v>164</v>
      </c>
      <c r="BV5" s="47"/>
      <c r="BW5" s="47"/>
      <c r="BX5" s="201">
        <v>42309</v>
      </c>
    </row>
    <row r="6" s="101" customFormat="1" ht="24" customHeight="1" spans="1:76">
      <c r="A6" s="7">
        <v>4</v>
      </c>
      <c r="B6" s="9" t="s">
        <v>1528</v>
      </c>
      <c r="C6" s="8" t="s">
        <v>1529</v>
      </c>
      <c r="D6" s="8" t="str">
        <f t="shared" si="0"/>
        <v>男</v>
      </c>
      <c r="E6" s="9" t="s">
        <v>1492</v>
      </c>
      <c r="F6" s="9" t="s">
        <v>144</v>
      </c>
      <c r="G6" s="19" t="s">
        <v>1530</v>
      </c>
      <c r="H6" s="18">
        <v>43619</v>
      </c>
      <c r="I6" s="8">
        <v>13986973613</v>
      </c>
      <c r="J6" s="27" t="s">
        <v>1531</v>
      </c>
      <c r="K6" s="28" t="s">
        <v>258</v>
      </c>
      <c r="L6" s="28" t="s">
        <v>1532</v>
      </c>
      <c r="M6" s="9" t="s">
        <v>149</v>
      </c>
      <c r="N6" s="49" t="s">
        <v>144</v>
      </c>
      <c r="O6" s="32" t="s">
        <v>1533</v>
      </c>
      <c r="P6" s="33">
        <v>64.6027397260274</v>
      </c>
      <c r="Q6" s="9">
        <f ca="1" t="shared" ref="Q6:Q16" si="1">IF(H6="","",DATEDIF(H6,TODAY(),"Y"))</f>
        <v>7</v>
      </c>
      <c r="R6" s="28" t="s">
        <v>88</v>
      </c>
      <c r="S6" s="9" t="s">
        <v>245</v>
      </c>
      <c r="T6" s="28" t="s">
        <v>90</v>
      </c>
      <c r="U6" s="9" t="s">
        <v>91</v>
      </c>
      <c r="V6" s="9" t="s">
        <v>92</v>
      </c>
      <c r="W6" s="9"/>
      <c r="X6" s="9"/>
      <c r="Y6" s="37" t="s">
        <v>1534</v>
      </c>
      <c r="Z6" s="9">
        <v>1988.5</v>
      </c>
      <c r="AA6" s="148">
        <v>2015.1</v>
      </c>
      <c r="AB6" s="9" t="s">
        <v>357</v>
      </c>
      <c r="AC6" s="9"/>
      <c r="AD6" s="9"/>
      <c r="AE6" s="9"/>
      <c r="AF6" s="8" t="s">
        <v>96</v>
      </c>
      <c r="AG6" s="49" t="s">
        <v>1535</v>
      </c>
      <c r="AH6" s="28" t="s">
        <v>1536</v>
      </c>
      <c r="AI6" s="9">
        <v>1974.9</v>
      </c>
      <c r="AJ6" s="9">
        <v>1976.6</v>
      </c>
      <c r="AK6" s="9"/>
      <c r="AL6" s="9" t="s">
        <v>1537</v>
      </c>
      <c r="AM6" s="45"/>
      <c r="AN6" s="46" t="s">
        <v>99</v>
      </c>
      <c r="AO6" s="28" t="s">
        <v>1532</v>
      </c>
      <c r="AP6" s="49" t="s">
        <v>123</v>
      </c>
      <c r="AQ6" s="47" t="s">
        <v>1538</v>
      </c>
      <c r="AR6" s="9" t="s">
        <v>102</v>
      </c>
      <c r="AS6" s="9">
        <v>41</v>
      </c>
      <c r="AT6" s="9" t="s">
        <v>178</v>
      </c>
      <c r="AU6" s="9" t="s">
        <v>1539</v>
      </c>
      <c r="AV6" s="9" t="s">
        <v>104</v>
      </c>
      <c r="AW6" s="28">
        <v>17573043668</v>
      </c>
      <c r="AX6" s="49" t="s">
        <v>1540</v>
      </c>
      <c r="AY6" s="9">
        <v>4</v>
      </c>
      <c r="AZ6" s="50">
        <v>43710</v>
      </c>
      <c r="BA6" s="184">
        <v>45445</v>
      </c>
      <c r="BB6" s="9" t="s">
        <v>106</v>
      </c>
      <c r="BC6" s="185"/>
      <c r="BD6" s="53"/>
      <c r="BE6" s="24">
        <v>45322</v>
      </c>
      <c r="BF6" s="188" t="s">
        <v>1541</v>
      </c>
      <c r="BG6" s="53"/>
      <c r="BH6" s="49" t="s">
        <v>1542</v>
      </c>
      <c r="BI6" s="49"/>
      <c r="BJ6" s="49"/>
      <c r="BK6" s="47"/>
      <c r="BL6" s="278" t="s">
        <v>1543</v>
      </c>
      <c r="BM6" s="9"/>
      <c r="BN6" s="9"/>
      <c r="BO6" s="9"/>
      <c r="BP6" s="58"/>
      <c r="BQ6" s="49"/>
      <c r="BR6" s="9"/>
      <c r="BS6" s="9" t="s">
        <v>111</v>
      </c>
      <c r="BT6" s="9">
        <v>506</v>
      </c>
      <c r="BU6" s="199" t="s">
        <v>164</v>
      </c>
      <c r="BV6" s="47"/>
      <c r="BW6" s="47"/>
      <c r="BX6" s="200">
        <v>43710</v>
      </c>
    </row>
    <row r="7" s="101" customFormat="1" ht="24" customHeight="1" spans="1:76">
      <c r="A7" s="7">
        <v>5</v>
      </c>
      <c r="B7" s="9" t="s">
        <v>1544</v>
      </c>
      <c r="C7" s="8" t="s">
        <v>1545</v>
      </c>
      <c r="D7" s="8" t="str">
        <f t="shared" si="0"/>
        <v>男</v>
      </c>
      <c r="E7" s="9" t="s">
        <v>1492</v>
      </c>
      <c r="F7" s="9" t="s">
        <v>144</v>
      </c>
      <c r="G7" s="117" t="s">
        <v>1517</v>
      </c>
      <c r="H7" s="18">
        <v>44168</v>
      </c>
      <c r="I7" s="8">
        <v>17362627471</v>
      </c>
      <c r="J7" s="27" t="s">
        <v>1546</v>
      </c>
      <c r="K7" s="28" t="s">
        <v>224</v>
      </c>
      <c r="L7" s="17" t="s">
        <v>1547</v>
      </c>
      <c r="M7" s="9" t="s">
        <v>149</v>
      </c>
      <c r="N7" s="17" t="s">
        <v>1547</v>
      </c>
      <c r="O7" s="32" t="s">
        <v>1548</v>
      </c>
      <c r="P7" s="33">
        <v>60.1561643835616</v>
      </c>
      <c r="Q7" s="9">
        <f ca="1" t="shared" si="1"/>
        <v>5</v>
      </c>
      <c r="R7" s="28" t="s">
        <v>88</v>
      </c>
      <c r="S7" s="9" t="s">
        <v>245</v>
      </c>
      <c r="T7" s="28" t="s">
        <v>90</v>
      </c>
      <c r="U7" s="9" t="s">
        <v>91</v>
      </c>
      <c r="V7" s="9" t="s">
        <v>92</v>
      </c>
      <c r="W7" s="9"/>
      <c r="X7" s="9"/>
      <c r="Y7" s="37" t="s">
        <v>1130</v>
      </c>
      <c r="Z7" s="9"/>
      <c r="AA7" s="9"/>
      <c r="AB7" s="9"/>
      <c r="AC7" s="9"/>
      <c r="AD7" s="9"/>
      <c r="AE7" s="9"/>
      <c r="AF7" s="150" t="s">
        <v>96</v>
      </c>
      <c r="AG7" s="49" t="s">
        <v>1549</v>
      </c>
      <c r="AH7" s="28"/>
      <c r="AI7" s="9"/>
      <c r="AJ7" s="9"/>
      <c r="AK7" s="9"/>
      <c r="AL7" s="9"/>
      <c r="AM7" s="45"/>
      <c r="AN7" s="46" t="s">
        <v>99</v>
      </c>
      <c r="AO7" s="17" t="s">
        <v>1547</v>
      </c>
      <c r="AP7" s="49" t="s">
        <v>123</v>
      </c>
      <c r="AQ7" s="47" t="s">
        <v>1550</v>
      </c>
      <c r="AR7" s="9" t="s">
        <v>102</v>
      </c>
      <c r="AS7" s="9">
        <v>38</v>
      </c>
      <c r="AT7" s="9" t="s">
        <v>178</v>
      </c>
      <c r="AU7" s="9" t="s">
        <v>823</v>
      </c>
      <c r="AV7" s="9" t="s">
        <v>1063</v>
      </c>
      <c r="AW7" s="28">
        <v>13297137702</v>
      </c>
      <c r="AX7" s="49" t="s">
        <v>1551</v>
      </c>
      <c r="AY7" s="9">
        <v>3</v>
      </c>
      <c r="AZ7" s="50">
        <v>44256</v>
      </c>
      <c r="BA7" s="184">
        <v>45628</v>
      </c>
      <c r="BB7" s="9" t="s">
        <v>562</v>
      </c>
      <c r="BC7" s="185" t="s">
        <v>823</v>
      </c>
      <c r="BD7" s="53"/>
      <c r="BE7" s="24">
        <v>45322</v>
      </c>
      <c r="BF7" s="188" t="s">
        <v>1511</v>
      </c>
      <c r="BG7" s="53"/>
      <c r="BH7" s="49"/>
      <c r="BI7" s="49"/>
      <c r="BJ7" s="49"/>
      <c r="BK7" s="47"/>
      <c r="BL7" s="278" t="s">
        <v>1552</v>
      </c>
      <c r="BM7" s="9"/>
      <c r="BN7" s="9"/>
      <c r="BO7" s="9"/>
      <c r="BP7" s="58"/>
      <c r="BQ7" s="49"/>
      <c r="BR7" s="9"/>
      <c r="BS7" s="9" t="s">
        <v>111</v>
      </c>
      <c r="BT7" s="9"/>
      <c r="BU7" s="199" t="s">
        <v>164</v>
      </c>
      <c r="BV7" s="47"/>
      <c r="BW7" s="47"/>
      <c r="BX7" s="200">
        <v>44256</v>
      </c>
    </row>
    <row r="8" s="101" customFormat="1" ht="24" customHeight="1" spans="1:76">
      <c r="A8" s="7">
        <v>6</v>
      </c>
      <c r="B8" s="9" t="s">
        <v>1553</v>
      </c>
      <c r="C8" s="110" t="s">
        <v>923</v>
      </c>
      <c r="D8" s="8" t="str">
        <f t="shared" si="0"/>
        <v>男</v>
      </c>
      <c r="E8" s="9" t="s">
        <v>1492</v>
      </c>
      <c r="F8" s="9" t="s">
        <v>144</v>
      </c>
      <c r="G8" s="116" t="s">
        <v>1517</v>
      </c>
      <c r="H8" s="18">
        <v>42471</v>
      </c>
      <c r="I8" s="130">
        <v>18972863125</v>
      </c>
      <c r="J8" s="27" t="s">
        <v>1554</v>
      </c>
      <c r="K8" s="28" t="s">
        <v>205</v>
      </c>
      <c r="L8" s="28" t="s">
        <v>1555</v>
      </c>
      <c r="M8" s="9" t="s">
        <v>149</v>
      </c>
      <c r="N8" s="28" t="s">
        <v>1555</v>
      </c>
      <c r="O8" s="32" t="s">
        <v>1556</v>
      </c>
      <c r="P8" s="33">
        <v>65.0849315068493</v>
      </c>
      <c r="Q8" s="9">
        <f ca="1" t="shared" si="1"/>
        <v>10</v>
      </c>
      <c r="R8" s="28" t="s">
        <v>88</v>
      </c>
      <c r="S8" s="9" t="s">
        <v>245</v>
      </c>
      <c r="T8" s="28" t="s">
        <v>90</v>
      </c>
      <c r="U8" s="9" t="s">
        <v>91</v>
      </c>
      <c r="V8" s="9" t="s">
        <v>92</v>
      </c>
      <c r="W8" s="9"/>
      <c r="X8" s="9"/>
      <c r="Y8" s="37" t="s">
        <v>227</v>
      </c>
      <c r="Z8" s="9">
        <v>2007</v>
      </c>
      <c r="AA8" s="9">
        <v>2014</v>
      </c>
      <c r="AB8" s="9" t="s">
        <v>1557</v>
      </c>
      <c r="AC8" s="9"/>
      <c r="AD8" s="9" t="s">
        <v>651</v>
      </c>
      <c r="AE8" s="9">
        <v>13597999298</v>
      </c>
      <c r="AF8" s="28" t="s">
        <v>96</v>
      </c>
      <c r="AG8" s="49" t="s">
        <v>1558</v>
      </c>
      <c r="AH8" s="28"/>
      <c r="AI8" s="9">
        <v>1975.9</v>
      </c>
      <c r="AJ8" s="9">
        <v>1977.7</v>
      </c>
      <c r="AK8" s="9"/>
      <c r="AL8" s="9"/>
      <c r="AM8" s="45"/>
      <c r="AN8" s="46" t="s">
        <v>99</v>
      </c>
      <c r="AO8" s="28" t="s">
        <v>1555</v>
      </c>
      <c r="AP8" s="49" t="s">
        <v>212</v>
      </c>
      <c r="AQ8" s="9" t="s">
        <v>1559</v>
      </c>
      <c r="AR8" s="9" t="s">
        <v>214</v>
      </c>
      <c r="AS8" s="9">
        <v>60</v>
      </c>
      <c r="AT8" s="9" t="s">
        <v>159</v>
      </c>
      <c r="AU8" s="9" t="s">
        <v>1559</v>
      </c>
      <c r="AV8" s="9" t="s">
        <v>104</v>
      </c>
      <c r="AW8" s="28">
        <v>15334031691</v>
      </c>
      <c r="AX8" s="171" t="s">
        <v>1560</v>
      </c>
      <c r="AY8" s="9">
        <v>7</v>
      </c>
      <c r="AZ8" s="50">
        <v>42561</v>
      </c>
      <c r="BA8" s="184">
        <v>45382</v>
      </c>
      <c r="BB8" s="9" t="s">
        <v>106</v>
      </c>
      <c r="BC8" s="185"/>
      <c r="BD8" s="53"/>
      <c r="BE8" s="24">
        <v>45322</v>
      </c>
      <c r="BF8" s="188" t="s">
        <v>1511</v>
      </c>
      <c r="BG8" s="53"/>
      <c r="BH8" s="49" t="s">
        <v>1561</v>
      </c>
      <c r="BI8" s="49"/>
      <c r="BJ8" s="49"/>
      <c r="BK8" s="47"/>
      <c r="BL8" s="280" t="s">
        <v>1562</v>
      </c>
      <c r="BM8" s="9"/>
      <c r="BN8" s="9"/>
      <c r="BO8" s="9"/>
      <c r="BP8" s="58"/>
      <c r="BQ8" s="49"/>
      <c r="BR8" s="9"/>
      <c r="BS8" s="9" t="s">
        <v>111</v>
      </c>
      <c r="BT8" s="9"/>
      <c r="BU8" s="199" t="s">
        <v>164</v>
      </c>
      <c r="BV8" s="47"/>
      <c r="BW8" s="47"/>
      <c r="BX8" s="200">
        <v>42561</v>
      </c>
    </row>
    <row r="9" s="101" customFormat="1" ht="24" customHeight="1" spans="1:76">
      <c r="A9" s="7">
        <v>7</v>
      </c>
      <c r="B9" s="9" t="s">
        <v>1563</v>
      </c>
      <c r="C9" s="17" t="s">
        <v>1564</v>
      </c>
      <c r="D9" s="8" t="str">
        <f t="shared" si="0"/>
        <v>女</v>
      </c>
      <c r="E9" s="9" t="s">
        <v>1492</v>
      </c>
      <c r="F9" s="9" t="s">
        <v>144</v>
      </c>
      <c r="G9" s="17" t="s">
        <v>247</v>
      </c>
      <c r="H9" s="119">
        <v>44630</v>
      </c>
      <c r="I9" s="132" t="s">
        <v>1565</v>
      </c>
      <c r="J9" s="271" t="s">
        <v>1566</v>
      </c>
      <c r="K9" s="134" t="s">
        <v>764</v>
      </c>
      <c r="L9" s="135" t="s">
        <v>1567</v>
      </c>
      <c r="M9" s="9" t="s">
        <v>149</v>
      </c>
      <c r="N9" s="135" t="s">
        <v>1568</v>
      </c>
      <c r="O9" s="32" t="s">
        <v>1569</v>
      </c>
      <c r="P9" s="33">
        <v>57.9013698630137</v>
      </c>
      <c r="Q9" s="9">
        <f ca="1" t="shared" si="1"/>
        <v>4</v>
      </c>
      <c r="R9" s="28" t="s">
        <v>88</v>
      </c>
      <c r="S9" s="9" t="s">
        <v>245</v>
      </c>
      <c r="T9" s="8" t="s">
        <v>90</v>
      </c>
      <c r="U9" s="9" t="s">
        <v>91</v>
      </c>
      <c r="V9" s="9" t="s">
        <v>92</v>
      </c>
      <c r="W9" s="9"/>
      <c r="X9" s="9"/>
      <c r="Y9" s="37" t="s">
        <v>1570</v>
      </c>
      <c r="Z9" s="9">
        <v>2016</v>
      </c>
      <c r="AA9" s="9">
        <v>2021</v>
      </c>
      <c r="AB9" s="9" t="s">
        <v>1571</v>
      </c>
      <c r="AC9" s="9"/>
      <c r="AD9" s="9"/>
      <c r="AE9" s="9"/>
      <c r="AF9" s="8" t="s">
        <v>122</v>
      </c>
      <c r="AG9" s="49" t="s">
        <v>1572</v>
      </c>
      <c r="AH9" s="8"/>
      <c r="AI9" s="9">
        <v>1979.9</v>
      </c>
      <c r="AJ9" s="9">
        <v>1982.6</v>
      </c>
      <c r="AK9" s="9"/>
      <c r="AL9" s="9"/>
      <c r="AM9" s="45"/>
      <c r="AN9" s="46" t="s">
        <v>99</v>
      </c>
      <c r="AO9" s="135" t="s">
        <v>1568</v>
      </c>
      <c r="AP9" s="102" t="s">
        <v>176</v>
      </c>
      <c r="AQ9" s="152" t="s">
        <v>1573</v>
      </c>
      <c r="AR9" s="152" t="s">
        <v>102</v>
      </c>
      <c r="AS9" s="152">
        <v>55</v>
      </c>
      <c r="AT9" s="9" t="s">
        <v>178</v>
      </c>
      <c r="AU9" s="9" t="s">
        <v>1573</v>
      </c>
      <c r="AV9" s="9" t="s">
        <v>104</v>
      </c>
      <c r="AW9" s="133">
        <v>17683880180</v>
      </c>
      <c r="AX9" s="49" t="s">
        <v>1574</v>
      </c>
      <c r="AY9" s="9">
        <v>2</v>
      </c>
      <c r="AZ9" s="119">
        <v>44723</v>
      </c>
      <c r="BA9" s="184">
        <v>45453</v>
      </c>
      <c r="BB9" s="9" t="s">
        <v>106</v>
      </c>
      <c r="BC9" s="185"/>
      <c r="BD9" s="53"/>
      <c r="BE9" s="24">
        <v>45322</v>
      </c>
      <c r="BF9" s="188" t="s">
        <v>1511</v>
      </c>
      <c r="BG9" s="53"/>
      <c r="BH9" s="49"/>
      <c r="BI9" s="49"/>
      <c r="BJ9" s="137" t="s">
        <v>1575</v>
      </c>
      <c r="BK9" s="47" t="s">
        <v>758</v>
      </c>
      <c r="BL9" s="278" t="s">
        <v>1576</v>
      </c>
      <c r="BM9" s="9"/>
      <c r="BN9" s="9"/>
      <c r="BO9" s="9"/>
      <c r="BP9" s="58"/>
      <c r="BQ9" s="49"/>
      <c r="BR9" s="9"/>
      <c r="BS9" s="9" t="s">
        <v>111</v>
      </c>
      <c r="BT9" s="9"/>
      <c r="BU9" s="199" t="s">
        <v>1055</v>
      </c>
      <c r="BV9" s="47"/>
      <c r="BW9" s="47"/>
      <c r="BX9" s="202">
        <v>44723</v>
      </c>
    </row>
    <row r="10" s="101" customFormat="1" ht="24" customHeight="1" spans="1:76">
      <c r="A10" s="7">
        <v>8</v>
      </c>
      <c r="B10" s="9" t="s">
        <v>1577</v>
      </c>
      <c r="C10" s="111" t="s">
        <v>1578</v>
      </c>
      <c r="D10" s="8" t="str">
        <f t="shared" si="0"/>
        <v>男</v>
      </c>
      <c r="E10" s="9" t="s">
        <v>81</v>
      </c>
      <c r="F10" s="9" t="s">
        <v>144</v>
      </c>
      <c r="G10" s="117" t="s">
        <v>956</v>
      </c>
      <c r="H10" s="18">
        <v>43241</v>
      </c>
      <c r="I10" s="111">
        <v>13469767367</v>
      </c>
      <c r="J10" s="27" t="s">
        <v>1579</v>
      </c>
      <c r="K10" s="28" t="s">
        <v>224</v>
      </c>
      <c r="L10" s="28" t="s">
        <v>1580</v>
      </c>
      <c r="M10" s="9" t="s">
        <v>149</v>
      </c>
      <c r="N10" s="28" t="s">
        <v>1581</v>
      </c>
      <c r="O10" s="32" t="s">
        <v>1582</v>
      </c>
      <c r="P10" s="33">
        <v>25.7945205479452</v>
      </c>
      <c r="Q10" s="9">
        <f ca="1" t="shared" si="1"/>
        <v>8</v>
      </c>
      <c r="R10" s="28" t="s">
        <v>88</v>
      </c>
      <c r="S10" s="9" t="s">
        <v>89</v>
      </c>
      <c r="T10" s="28" t="s">
        <v>90</v>
      </c>
      <c r="U10" s="9" t="s">
        <v>91</v>
      </c>
      <c r="V10" s="9" t="s">
        <v>92</v>
      </c>
      <c r="W10" s="9"/>
      <c r="X10" s="9"/>
      <c r="Y10" s="47" t="s">
        <v>1583</v>
      </c>
      <c r="Z10" s="9">
        <v>2017.4</v>
      </c>
      <c r="AA10" s="9">
        <v>2017.9</v>
      </c>
      <c r="AB10" s="9" t="s">
        <v>1584</v>
      </c>
      <c r="AC10" s="9"/>
      <c r="AD10" s="9"/>
      <c r="AE10" s="9"/>
      <c r="AF10" s="111" t="s">
        <v>208</v>
      </c>
      <c r="AG10" s="49" t="s">
        <v>1585</v>
      </c>
      <c r="AH10" s="28" t="s">
        <v>739</v>
      </c>
      <c r="AI10" s="9">
        <v>2013.7</v>
      </c>
      <c r="AJ10" s="9">
        <v>2016.6</v>
      </c>
      <c r="AK10" s="9"/>
      <c r="AL10" s="9"/>
      <c r="AM10" s="45"/>
      <c r="AN10" s="46" t="s">
        <v>194</v>
      </c>
      <c r="AO10" s="28" t="s">
        <v>1581</v>
      </c>
      <c r="AP10" s="49" t="s">
        <v>100</v>
      </c>
      <c r="AQ10" s="9" t="s">
        <v>1586</v>
      </c>
      <c r="AR10" s="9" t="s">
        <v>102</v>
      </c>
      <c r="AS10" s="9">
        <v>50</v>
      </c>
      <c r="AT10" s="9" t="s">
        <v>445</v>
      </c>
      <c r="AU10" s="9" t="s">
        <v>1586</v>
      </c>
      <c r="AV10" s="9" t="s">
        <v>393</v>
      </c>
      <c r="AW10" s="28">
        <v>13477582148</v>
      </c>
      <c r="AX10" s="49" t="s">
        <v>1587</v>
      </c>
      <c r="AY10" s="9">
        <v>4</v>
      </c>
      <c r="AZ10" s="50">
        <v>43332</v>
      </c>
      <c r="BA10" s="184">
        <v>45535</v>
      </c>
      <c r="BB10" s="9" t="s">
        <v>106</v>
      </c>
      <c r="BC10" s="185"/>
      <c r="BD10" s="53"/>
      <c r="BE10" s="24">
        <v>45322</v>
      </c>
      <c r="BF10" s="188" t="s">
        <v>1588</v>
      </c>
      <c r="BG10" s="53"/>
      <c r="BH10" s="49" t="s">
        <v>1589</v>
      </c>
      <c r="BI10" s="49"/>
      <c r="BJ10" s="49"/>
      <c r="BK10" s="47"/>
      <c r="BL10" s="278" t="s">
        <v>1590</v>
      </c>
      <c r="BM10" s="9" t="s">
        <v>109</v>
      </c>
      <c r="BN10" s="49" t="s">
        <v>110</v>
      </c>
      <c r="BO10" s="9">
        <v>2018.9</v>
      </c>
      <c r="BP10" s="58" t="s">
        <v>1591</v>
      </c>
      <c r="BQ10" s="279" t="s">
        <v>1592</v>
      </c>
      <c r="BR10" s="9">
        <v>2018.9</v>
      </c>
      <c r="BS10" s="9" t="s">
        <v>111</v>
      </c>
      <c r="BT10" s="9"/>
      <c r="BU10" s="199" t="s">
        <v>164</v>
      </c>
      <c r="BV10" s="47"/>
      <c r="BW10" s="47"/>
      <c r="BX10" s="200">
        <v>43332</v>
      </c>
    </row>
    <row r="11" s="101" customFormat="1" ht="24" customHeight="1" spans="1:76">
      <c r="A11" s="7">
        <v>9</v>
      </c>
      <c r="B11" s="8" t="s">
        <v>1593</v>
      </c>
      <c r="C11" s="47" t="s">
        <v>1594</v>
      </c>
      <c r="D11" s="8" t="str">
        <f t="shared" si="0"/>
        <v>女</v>
      </c>
      <c r="E11" s="9" t="s">
        <v>1492</v>
      </c>
      <c r="F11" s="9" t="s">
        <v>144</v>
      </c>
      <c r="G11" s="8" t="s">
        <v>1493</v>
      </c>
      <c r="H11" s="24">
        <v>45173</v>
      </c>
      <c r="I11" s="9">
        <v>17786417020</v>
      </c>
      <c r="J11" s="270" t="s">
        <v>1595</v>
      </c>
      <c r="K11" s="74" t="s">
        <v>224</v>
      </c>
      <c r="L11" s="136" t="s">
        <v>1596</v>
      </c>
      <c r="M11" s="9" t="s">
        <v>149</v>
      </c>
      <c r="N11" s="136" t="s">
        <v>1596</v>
      </c>
      <c r="O11" s="32" t="s">
        <v>1597</v>
      </c>
      <c r="P11" s="33">
        <v>53.7917808219178</v>
      </c>
      <c r="Q11" s="9">
        <f ca="1" t="shared" si="1"/>
        <v>2</v>
      </c>
      <c r="R11" s="28" t="s">
        <v>88</v>
      </c>
      <c r="S11" s="9" t="s">
        <v>245</v>
      </c>
      <c r="T11" s="8" t="s">
        <v>90</v>
      </c>
      <c r="U11" s="9" t="s">
        <v>91</v>
      </c>
      <c r="V11" s="9" t="s">
        <v>92</v>
      </c>
      <c r="W11" s="9"/>
      <c r="X11" s="9"/>
      <c r="Y11" s="47" t="s">
        <v>1598</v>
      </c>
      <c r="Z11" s="9">
        <v>2023.2</v>
      </c>
      <c r="AA11" s="9">
        <v>2023.8</v>
      </c>
      <c r="AB11" s="9" t="s">
        <v>247</v>
      </c>
      <c r="AC11" s="9"/>
      <c r="AD11" s="9"/>
      <c r="AE11" s="9"/>
      <c r="AF11" s="8" t="s">
        <v>122</v>
      </c>
      <c r="AG11" s="49"/>
      <c r="AH11" s="49"/>
      <c r="AI11" s="9"/>
      <c r="AJ11" s="9"/>
      <c r="AK11" s="9"/>
      <c r="AL11" s="9"/>
      <c r="AM11" s="45"/>
      <c r="AN11" s="46" t="s">
        <v>99</v>
      </c>
      <c r="AO11" s="136" t="s">
        <v>1596</v>
      </c>
      <c r="AP11" s="49" t="s">
        <v>331</v>
      </c>
      <c r="AQ11" s="9" t="s">
        <v>1599</v>
      </c>
      <c r="AR11" s="9" t="s">
        <v>214</v>
      </c>
      <c r="AS11" s="9">
        <v>33</v>
      </c>
      <c r="AT11" s="9"/>
      <c r="AU11" s="9" t="s">
        <v>1600</v>
      </c>
      <c r="AV11" s="9" t="s">
        <v>104</v>
      </c>
      <c r="AW11" s="9">
        <v>17720499225</v>
      </c>
      <c r="AX11" s="49" t="s">
        <v>1601</v>
      </c>
      <c r="AY11" s="9">
        <v>1</v>
      </c>
      <c r="AZ11" s="123">
        <v>45173</v>
      </c>
      <c r="BA11" s="186">
        <v>45596</v>
      </c>
      <c r="BB11" s="9" t="s">
        <v>128</v>
      </c>
      <c r="BC11" s="47"/>
      <c r="BD11" s="53"/>
      <c r="BE11" s="24">
        <v>45338</v>
      </c>
      <c r="BF11" s="188" t="s">
        <v>1602</v>
      </c>
      <c r="BG11" s="53"/>
      <c r="BH11" s="49"/>
      <c r="BI11" s="49"/>
      <c r="BJ11" s="49"/>
      <c r="BK11" s="47"/>
      <c r="BL11" s="278" t="s">
        <v>1603</v>
      </c>
      <c r="BM11" s="9"/>
      <c r="BN11" s="9"/>
      <c r="BO11" s="9"/>
      <c r="BP11" s="58"/>
      <c r="BQ11" s="49"/>
      <c r="BR11" s="9"/>
      <c r="BS11" s="9"/>
      <c r="BT11" s="9"/>
      <c r="BU11" s="199" t="s">
        <v>164</v>
      </c>
      <c r="BV11" s="47"/>
      <c r="BW11" s="47"/>
      <c r="BX11" s="180">
        <v>45231</v>
      </c>
    </row>
    <row r="12" s="101" customFormat="1" ht="24" customHeight="1" spans="1:76">
      <c r="A12" s="7">
        <v>10</v>
      </c>
      <c r="B12" s="9" t="s">
        <v>1604</v>
      </c>
      <c r="C12" s="9" t="s">
        <v>1605</v>
      </c>
      <c r="D12" s="8" t="str">
        <f t="shared" si="0"/>
        <v>男</v>
      </c>
      <c r="E12" s="9" t="s">
        <v>81</v>
      </c>
      <c r="F12" s="9" t="s">
        <v>144</v>
      </c>
      <c r="G12" s="17" t="s">
        <v>1606</v>
      </c>
      <c r="H12" s="24">
        <v>45066</v>
      </c>
      <c r="I12" s="9">
        <v>18207267883</v>
      </c>
      <c r="J12" s="281" t="s">
        <v>1607</v>
      </c>
      <c r="K12" s="28" t="s">
        <v>116</v>
      </c>
      <c r="L12" s="17" t="s">
        <v>1608</v>
      </c>
      <c r="M12" s="9" t="s">
        <v>149</v>
      </c>
      <c r="N12" s="17" t="s">
        <v>1609</v>
      </c>
      <c r="O12" s="32" t="s">
        <v>1610</v>
      </c>
      <c r="P12" s="33">
        <v>54.2246575342466</v>
      </c>
      <c r="Q12" s="9">
        <f ca="1" t="shared" si="1"/>
        <v>3</v>
      </c>
      <c r="R12" s="28" t="s">
        <v>88</v>
      </c>
      <c r="S12" s="9" t="s">
        <v>89</v>
      </c>
      <c r="T12" s="8" t="s">
        <v>90</v>
      </c>
      <c r="U12" s="9" t="s">
        <v>91</v>
      </c>
      <c r="V12" s="9" t="s">
        <v>92</v>
      </c>
      <c r="W12" s="9"/>
      <c r="X12" s="9"/>
      <c r="Y12" s="37" t="s">
        <v>1611</v>
      </c>
      <c r="Z12" s="148">
        <v>2018.1</v>
      </c>
      <c r="AA12" s="9">
        <v>2022.12</v>
      </c>
      <c r="AB12" s="9" t="s">
        <v>121</v>
      </c>
      <c r="AC12" s="9"/>
      <c r="AD12" s="9"/>
      <c r="AE12" s="9"/>
      <c r="AF12" s="8" t="s">
        <v>122</v>
      </c>
      <c r="AG12" s="49"/>
      <c r="AH12" s="9"/>
      <c r="AI12" s="9"/>
      <c r="AJ12" s="9"/>
      <c r="AK12" s="9"/>
      <c r="AL12" s="9"/>
      <c r="AM12" s="45"/>
      <c r="AN12" s="46" t="s">
        <v>814</v>
      </c>
      <c r="AO12" s="17" t="s">
        <v>1609</v>
      </c>
      <c r="AP12" s="49" t="s">
        <v>123</v>
      </c>
      <c r="AQ12" s="9" t="s">
        <v>1612</v>
      </c>
      <c r="AR12" s="9" t="s">
        <v>102</v>
      </c>
      <c r="AS12" s="9">
        <v>26</v>
      </c>
      <c r="AT12" s="9"/>
      <c r="AU12" s="9" t="s">
        <v>1612</v>
      </c>
      <c r="AV12" s="9" t="s">
        <v>393</v>
      </c>
      <c r="AW12" s="9">
        <v>15071995042</v>
      </c>
      <c r="AX12" s="49" t="s">
        <v>1613</v>
      </c>
      <c r="AY12" s="9">
        <v>1</v>
      </c>
      <c r="AZ12" s="24">
        <v>45158</v>
      </c>
      <c r="BA12" s="184">
        <v>45523</v>
      </c>
      <c r="BB12" s="9" t="s">
        <v>106</v>
      </c>
      <c r="BC12" s="47"/>
      <c r="BD12" s="53"/>
      <c r="BE12" s="24">
        <v>45344</v>
      </c>
      <c r="BF12" s="188" t="s">
        <v>1588</v>
      </c>
      <c r="BG12" s="53"/>
      <c r="BH12" s="49" t="s">
        <v>1614</v>
      </c>
      <c r="BI12" s="49"/>
      <c r="BJ12" s="49"/>
      <c r="BK12" s="47"/>
      <c r="BL12" s="278" t="s">
        <v>1615</v>
      </c>
      <c r="BM12" s="9" t="s">
        <v>109</v>
      </c>
      <c r="BN12" s="49" t="s">
        <v>110</v>
      </c>
      <c r="BO12" s="9">
        <v>2023.9</v>
      </c>
      <c r="BP12" s="58" t="s">
        <v>1616</v>
      </c>
      <c r="BQ12" s="279" t="s">
        <v>1617</v>
      </c>
      <c r="BR12" s="9">
        <v>2023.9</v>
      </c>
      <c r="BS12" s="9" t="s">
        <v>111</v>
      </c>
      <c r="BT12" s="9"/>
      <c r="BU12" s="199" t="s">
        <v>382</v>
      </c>
      <c r="BV12" s="47"/>
      <c r="BW12" s="47"/>
      <c r="BX12" s="203">
        <v>45158</v>
      </c>
    </row>
    <row r="13" s="101" customFormat="1" ht="24" customHeight="1" spans="1:76">
      <c r="A13" s="7">
        <v>11</v>
      </c>
      <c r="B13" s="8" t="s">
        <v>1618</v>
      </c>
      <c r="C13" s="47" t="s">
        <v>1619</v>
      </c>
      <c r="D13" s="8" t="str">
        <f t="shared" si="0"/>
        <v>男</v>
      </c>
      <c r="E13" s="9" t="s">
        <v>81</v>
      </c>
      <c r="F13" s="9" t="s">
        <v>144</v>
      </c>
      <c r="G13" s="17" t="s">
        <v>1620</v>
      </c>
      <c r="H13" s="24">
        <v>45175</v>
      </c>
      <c r="I13" s="9">
        <v>13886911782</v>
      </c>
      <c r="J13" s="270" t="s">
        <v>1621</v>
      </c>
      <c r="K13" s="28" t="s">
        <v>224</v>
      </c>
      <c r="L13" s="17" t="s">
        <v>1622</v>
      </c>
      <c r="M13" s="9" t="s">
        <v>149</v>
      </c>
      <c r="N13" s="17" t="s">
        <v>1622</v>
      </c>
      <c r="O13" s="32" t="s">
        <v>1623</v>
      </c>
      <c r="P13" s="33">
        <v>52.9479452054794</v>
      </c>
      <c r="Q13" s="9">
        <f ca="1" t="shared" si="1"/>
        <v>2</v>
      </c>
      <c r="R13" s="28" t="s">
        <v>88</v>
      </c>
      <c r="S13" s="9" t="s">
        <v>89</v>
      </c>
      <c r="T13" s="8" t="s">
        <v>90</v>
      </c>
      <c r="U13" s="9" t="s">
        <v>91</v>
      </c>
      <c r="V13" s="9" t="s">
        <v>92</v>
      </c>
      <c r="W13" s="9"/>
      <c r="X13" s="9"/>
      <c r="Y13" s="37" t="s">
        <v>1624</v>
      </c>
      <c r="Z13" s="9">
        <v>2000.3</v>
      </c>
      <c r="AA13" s="9">
        <v>2023.7</v>
      </c>
      <c r="AB13" s="9" t="s">
        <v>828</v>
      </c>
      <c r="AC13" s="9"/>
      <c r="AD13" s="9"/>
      <c r="AE13" s="9"/>
      <c r="AF13" s="8" t="s">
        <v>96</v>
      </c>
      <c r="AG13" s="49" t="s">
        <v>1625</v>
      </c>
      <c r="AH13" s="49"/>
      <c r="AI13" s="9"/>
      <c r="AJ13" s="9"/>
      <c r="AK13" s="9"/>
      <c r="AL13" s="9"/>
      <c r="AM13" s="45"/>
      <c r="AN13" s="46" t="s">
        <v>99</v>
      </c>
      <c r="AO13" s="17" t="s">
        <v>1622</v>
      </c>
      <c r="AP13" s="49" t="s">
        <v>212</v>
      </c>
      <c r="AQ13" s="9" t="s">
        <v>1626</v>
      </c>
      <c r="AR13" s="9" t="s">
        <v>214</v>
      </c>
      <c r="AS13" s="9">
        <v>49</v>
      </c>
      <c r="AT13" s="9" t="s">
        <v>103</v>
      </c>
      <c r="AU13" s="9" t="s">
        <v>1626</v>
      </c>
      <c r="AV13" s="9" t="s">
        <v>104</v>
      </c>
      <c r="AW13" s="9">
        <v>18207135889</v>
      </c>
      <c r="AX13" s="49" t="s">
        <v>1627</v>
      </c>
      <c r="AY13" s="9"/>
      <c r="AZ13" s="172">
        <v>45175</v>
      </c>
      <c r="BA13" s="184">
        <v>45626</v>
      </c>
      <c r="BB13" s="9" t="s">
        <v>106</v>
      </c>
      <c r="BC13" s="47"/>
      <c r="BD13" s="53"/>
      <c r="BE13" s="24">
        <v>45342</v>
      </c>
      <c r="BF13" s="188" t="s">
        <v>1628</v>
      </c>
      <c r="BG13" s="53"/>
      <c r="BH13" s="49"/>
      <c r="BI13" s="49"/>
      <c r="BJ13" s="49"/>
      <c r="BK13" s="47"/>
      <c r="BL13" s="278" t="s">
        <v>1629</v>
      </c>
      <c r="BM13" s="9"/>
      <c r="BN13" s="9"/>
      <c r="BO13" s="9"/>
      <c r="BP13" s="58"/>
      <c r="BQ13" s="49"/>
      <c r="BR13" s="9"/>
      <c r="BS13" s="9" t="s">
        <v>111</v>
      </c>
      <c r="BT13" s="9"/>
      <c r="BU13" s="199" t="s">
        <v>164</v>
      </c>
      <c r="BV13" s="47"/>
      <c r="BW13" s="47"/>
      <c r="BX13" s="203">
        <v>45261</v>
      </c>
    </row>
    <row r="14" s="101" customFormat="1" ht="24" customHeight="1" spans="1:76">
      <c r="A14" s="7">
        <v>12</v>
      </c>
      <c r="B14" s="9" t="s">
        <v>1630</v>
      </c>
      <c r="C14" s="8" t="s">
        <v>239</v>
      </c>
      <c r="D14" s="8" t="str">
        <f t="shared" si="0"/>
        <v>女</v>
      </c>
      <c r="E14" s="9" t="s">
        <v>1492</v>
      </c>
      <c r="F14" s="9" t="s">
        <v>144</v>
      </c>
      <c r="G14" s="17" t="s">
        <v>1493</v>
      </c>
      <c r="H14" s="119">
        <v>44343</v>
      </c>
      <c r="I14" s="132" t="s">
        <v>241</v>
      </c>
      <c r="J14" s="271" t="s">
        <v>242</v>
      </c>
      <c r="K14" s="134" t="s">
        <v>85</v>
      </c>
      <c r="L14" s="135" t="s">
        <v>243</v>
      </c>
      <c r="M14" s="9" t="s">
        <v>149</v>
      </c>
      <c r="N14" s="135" t="s">
        <v>243</v>
      </c>
      <c r="O14" s="32" t="s">
        <v>1631</v>
      </c>
      <c r="P14" s="33">
        <v>54.9945205479452</v>
      </c>
      <c r="Q14" s="9">
        <f ca="1" t="shared" si="1"/>
        <v>5</v>
      </c>
      <c r="R14" s="28" t="s">
        <v>88</v>
      </c>
      <c r="S14" s="9" t="s">
        <v>245</v>
      </c>
      <c r="T14" s="8" t="s">
        <v>90</v>
      </c>
      <c r="U14" s="9" t="s">
        <v>91</v>
      </c>
      <c r="V14" s="9" t="s">
        <v>92</v>
      </c>
      <c r="W14" s="9"/>
      <c r="X14" s="9"/>
      <c r="Y14" s="37" t="s">
        <v>1632</v>
      </c>
      <c r="Z14" s="9">
        <v>2015</v>
      </c>
      <c r="AA14" s="9">
        <v>2020</v>
      </c>
      <c r="AB14" s="9" t="s">
        <v>247</v>
      </c>
      <c r="AC14" s="9"/>
      <c r="AD14" s="9" t="s">
        <v>248</v>
      </c>
      <c r="AE14" s="9">
        <v>18475684047</v>
      </c>
      <c r="AF14" s="151" t="s">
        <v>122</v>
      </c>
      <c r="AG14" s="49" t="s">
        <v>249</v>
      </c>
      <c r="AH14" s="151"/>
      <c r="AI14" s="9">
        <v>1980.9</v>
      </c>
      <c r="AJ14" s="9">
        <v>1983.7</v>
      </c>
      <c r="AK14" s="9"/>
      <c r="AL14" s="9"/>
      <c r="AM14" s="45"/>
      <c r="AN14" s="162" t="s">
        <v>99</v>
      </c>
      <c r="AO14" s="135" t="s">
        <v>243</v>
      </c>
      <c r="AP14" s="9" t="s">
        <v>176</v>
      </c>
      <c r="AQ14" s="47" t="s">
        <v>250</v>
      </c>
      <c r="AR14" s="9" t="s">
        <v>102</v>
      </c>
      <c r="AS14" s="9">
        <v>61</v>
      </c>
      <c r="AT14" s="9" t="s">
        <v>159</v>
      </c>
      <c r="AU14" s="9" t="s">
        <v>251</v>
      </c>
      <c r="AV14" s="9" t="s">
        <v>197</v>
      </c>
      <c r="AW14" s="173">
        <v>15625264779</v>
      </c>
      <c r="AX14" s="49" t="s">
        <v>1633</v>
      </c>
      <c r="AY14" s="9">
        <v>3</v>
      </c>
      <c r="AZ14" s="119">
        <v>44343</v>
      </c>
      <c r="BA14" s="184">
        <v>45438</v>
      </c>
      <c r="BB14" s="9" t="s">
        <v>106</v>
      </c>
      <c r="BC14" s="185"/>
      <c r="BD14" s="53"/>
      <c r="BE14" s="24">
        <v>45351</v>
      </c>
      <c r="BF14" s="188" t="s">
        <v>786</v>
      </c>
      <c r="BG14" s="53"/>
      <c r="BH14" s="49"/>
      <c r="BI14" s="49"/>
      <c r="BJ14" s="49"/>
      <c r="BK14" s="47"/>
      <c r="BL14" s="272" t="s">
        <v>252</v>
      </c>
      <c r="BM14" s="9"/>
      <c r="BN14" s="9"/>
      <c r="BO14" s="9"/>
      <c r="BP14" s="58"/>
      <c r="BQ14" s="49"/>
      <c r="BR14" s="9"/>
      <c r="BS14" s="9" t="s">
        <v>111</v>
      </c>
      <c r="BT14" s="9"/>
      <c r="BU14" s="199" t="s">
        <v>164</v>
      </c>
      <c r="BV14" s="47"/>
      <c r="BW14" s="47"/>
      <c r="BX14" s="202">
        <v>44440</v>
      </c>
    </row>
    <row r="15" s="101" customFormat="1" ht="24" customHeight="1" spans="1:76">
      <c r="A15" s="7">
        <v>13</v>
      </c>
      <c r="B15" s="8" t="s">
        <v>1634</v>
      </c>
      <c r="C15" s="47" t="s">
        <v>1635</v>
      </c>
      <c r="D15" s="8" t="str">
        <f t="shared" si="0"/>
        <v>女</v>
      </c>
      <c r="E15" s="9" t="s">
        <v>1492</v>
      </c>
      <c r="F15" s="9" t="s">
        <v>144</v>
      </c>
      <c r="G15" s="8" t="s">
        <v>1493</v>
      </c>
      <c r="H15" s="24">
        <v>45165</v>
      </c>
      <c r="I15" s="9">
        <v>15872931685</v>
      </c>
      <c r="J15" s="47" t="s">
        <v>1636</v>
      </c>
      <c r="K15" s="74" t="s">
        <v>224</v>
      </c>
      <c r="L15" s="136" t="s">
        <v>1637</v>
      </c>
      <c r="M15" s="9" t="s">
        <v>87</v>
      </c>
      <c r="N15" s="136" t="s">
        <v>1637</v>
      </c>
      <c r="O15" s="32" t="s">
        <v>1638</v>
      </c>
      <c r="P15" s="33">
        <v>52.1068493150685</v>
      </c>
      <c r="Q15" s="9">
        <f ca="1" t="shared" si="1"/>
        <v>2</v>
      </c>
      <c r="R15" s="28" t="s">
        <v>88</v>
      </c>
      <c r="S15" s="9" t="s">
        <v>245</v>
      </c>
      <c r="T15" s="8" t="s">
        <v>90</v>
      </c>
      <c r="U15" s="9" t="s">
        <v>91</v>
      </c>
      <c r="V15" s="9" t="s">
        <v>92</v>
      </c>
      <c r="W15" s="9"/>
      <c r="X15" s="9"/>
      <c r="Y15" s="47" t="s">
        <v>1639</v>
      </c>
      <c r="Z15" s="9">
        <v>2021.3</v>
      </c>
      <c r="AA15" s="9">
        <v>2023.5</v>
      </c>
      <c r="AB15" s="9" t="s">
        <v>843</v>
      </c>
      <c r="AC15" s="9"/>
      <c r="AD15" s="9"/>
      <c r="AE15" s="9"/>
      <c r="AF15" s="8" t="s">
        <v>122</v>
      </c>
      <c r="AG15" s="49"/>
      <c r="AH15" s="49"/>
      <c r="AI15" s="9"/>
      <c r="AJ15" s="9"/>
      <c r="AK15" s="9"/>
      <c r="AL15" s="9"/>
      <c r="AM15" s="45"/>
      <c r="AN15" s="46" t="s">
        <v>99</v>
      </c>
      <c r="AO15" s="17" t="s">
        <v>109</v>
      </c>
      <c r="AP15" s="49" t="s">
        <v>176</v>
      </c>
      <c r="AQ15" s="9" t="s">
        <v>1640</v>
      </c>
      <c r="AR15" s="9" t="s">
        <v>102</v>
      </c>
      <c r="AS15" s="9"/>
      <c r="AT15" s="9"/>
      <c r="AU15" s="9" t="s">
        <v>1640</v>
      </c>
      <c r="AV15" s="9" t="s">
        <v>104</v>
      </c>
      <c r="AW15" s="9">
        <v>15827846941</v>
      </c>
      <c r="AX15" s="49" t="s">
        <v>1601</v>
      </c>
      <c r="AY15" s="9">
        <v>1</v>
      </c>
      <c r="AZ15" s="123">
        <v>45165</v>
      </c>
      <c r="BA15" s="186">
        <v>45596</v>
      </c>
      <c r="BB15" s="9" t="s">
        <v>128</v>
      </c>
      <c r="BC15" s="47"/>
      <c r="BD15" s="53"/>
      <c r="BE15" s="24">
        <v>45351</v>
      </c>
      <c r="BF15" s="188" t="s">
        <v>786</v>
      </c>
      <c r="BG15" s="53"/>
      <c r="BH15" s="49"/>
      <c r="BI15" s="49"/>
      <c r="BJ15" s="49"/>
      <c r="BK15" s="47"/>
      <c r="BL15" s="278" t="s">
        <v>1641</v>
      </c>
      <c r="BM15" s="9"/>
      <c r="BN15" s="9"/>
      <c r="BO15" s="9"/>
      <c r="BP15" s="58"/>
      <c r="BQ15" s="49"/>
      <c r="BR15" s="9"/>
      <c r="BS15" s="9"/>
      <c r="BT15" s="9"/>
      <c r="BU15" s="199" t="s">
        <v>164</v>
      </c>
      <c r="BV15" s="47"/>
      <c r="BW15" s="47"/>
      <c r="BX15" s="180">
        <v>45231</v>
      </c>
    </row>
    <row r="16" s="101" customFormat="1" ht="24" customHeight="1" spans="1:76">
      <c r="A16" s="7">
        <v>14</v>
      </c>
      <c r="B16" s="8" t="s">
        <v>1642</v>
      </c>
      <c r="C16" s="47" t="s">
        <v>1643</v>
      </c>
      <c r="D16" s="8" t="str">
        <f t="shared" si="0"/>
        <v>男</v>
      </c>
      <c r="E16" s="9" t="s">
        <v>417</v>
      </c>
      <c r="F16" s="9" t="s">
        <v>144</v>
      </c>
      <c r="G16" s="58" t="s">
        <v>516</v>
      </c>
      <c r="H16" s="24">
        <v>45342</v>
      </c>
      <c r="I16" s="9">
        <v>13972867920</v>
      </c>
      <c r="J16" s="270" t="s">
        <v>1644</v>
      </c>
      <c r="K16" s="28" t="s">
        <v>116</v>
      </c>
      <c r="L16" s="17" t="s">
        <v>1645</v>
      </c>
      <c r="M16" s="9" t="s">
        <v>87</v>
      </c>
      <c r="N16" s="17" t="s">
        <v>1645</v>
      </c>
      <c r="O16" s="32">
        <v>28044</v>
      </c>
      <c r="P16" s="33">
        <f>2024-1976</f>
        <v>48</v>
      </c>
      <c r="Q16" s="9">
        <f ca="1" t="shared" si="1"/>
        <v>2</v>
      </c>
      <c r="R16" s="28" t="s">
        <v>88</v>
      </c>
      <c r="S16" s="9" t="s">
        <v>245</v>
      </c>
      <c r="T16" s="8" t="s">
        <v>90</v>
      </c>
      <c r="U16" s="9" t="s">
        <v>91</v>
      </c>
      <c r="V16" s="9" t="s">
        <v>92</v>
      </c>
      <c r="W16" s="9"/>
      <c r="X16" s="9"/>
      <c r="Y16" s="47" t="s">
        <v>1646</v>
      </c>
      <c r="Z16" s="9">
        <v>2021.3</v>
      </c>
      <c r="AA16" s="9">
        <v>2023.5</v>
      </c>
      <c r="AB16" s="9" t="s">
        <v>1647</v>
      </c>
      <c r="AC16" s="9"/>
      <c r="AD16" s="9" t="s">
        <v>1648</v>
      </c>
      <c r="AE16" s="9"/>
      <c r="AF16" s="8" t="s">
        <v>208</v>
      </c>
      <c r="AG16" s="49" t="s">
        <v>1649</v>
      </c>
      <c r="AH16" s="49"/>
      <c r="AI16" s="9"/>
      <c r="AJ16" s="9"/>
      <c r="AK16" s="9"/>
      <c r="AL16" s="9"/>
      <c r="AM16" s="45"/>
      <c r="AN16" s="46" t="s">
        <v>814</v>
      </c>
      <c r="AO16" s="17" t="s">
        <v>1645</v>
      </c>
      <c r="AP16" s="49" t="s">
        <v>815</v>
      </c>
      <c r="AQ16" s="49" t="s">
        <v>1650</v>
      </c>
      <c r="AR16" s="9" t="s">
        <v>214</v>
      </c>
      <c r="AS16" s="9">
        <v>60</v>
      </c>
      <c r="AT16" s="9" t="s">
        <v>159</v>
      </c>
      <c r="AU16" s="9" t="s">
        <v>1651</v>
      </c>
      <c r="AV16" s="9" t="s">
        <v>1063</v>
      </c>
      <c r="AW16" s="9">
        <v>15527870084</v>
      </c>
      <c r="AX16" s="174" t="s">
        <v>1652</v>
      </c>
      <c r="AY16" s="9">
        <v>1</v>
      </c>
      <c r="AZ16" s="24">
        <v>45342</v>
      </c>
      <c r="BA16" s="184">
        <v>45431</v>
      </c>
      <c r="BB16" s="9" t="s">
        <v>106</v>
      </c>
      <c r="BC16" s="47"/>
      <c r="BD16" s="53"/>
      <c r="BE16" s="24">
        <v>45351</v>
      </c>
      <c r="BF16" s="188" t="s">
        <v>1653</v>
      </c>
      <c r="BG16" s="53"/>
      <c r="BH16" s="49"/>
      <c r="BI16" s="49"/>
      <c r="BJ16" s="49"/>
      <c r="BK16" s="47"/>
      <c r="BL16" s="278" t="s">
        <v>1654</v>
      </c>
      <c r="BM16" s="9"/>
      <c r="BN16" s="49"/>
      <c r="BO16" s="9"/>
      <c r="BP16" s="58"/>
      <c r="BQ16" s="49"/>
      <c r="BR16" s="9"/>
      <c r="BS16" s="9" t="s">
        <v>111</v>
      </c>
      <c r="BT16" s="9"/>
      <c r="BU16" s="199" t="s">
        <v>606</v>
      </c>
      <c r="BV16" s="47"/>
      <c r="BW16" s="47"/>
      <c r="BX16" s="203" t="s">
        <v>403</v>
      </c>
    </row>
    <row r="17" s="101" customFormat="1" ht="24" customHeight="1" spans="1:76">
      <c r="A17" s="7">
        <v>15</v>
      </c>
      <c r="B17" s="8" t="s">
        <v>1655</v>
      </c>
      <c r="C17" s="9" t="s">
        <v>1656</v>
      </c>
      <c r="D17" s="8" t="str">
        <f t="shared" si="0"/>
        <v>女</v>
      </c>
      <c r="E17" s="9" t="s">
        <v>398</v>
      </c>
      <c r="F17" s="9" t="s">
        <v>144</v>
      </c>
      <c r="G17" s="120" t="s">
        <v>399</v>
      </c>
      <c r="H17" s="24">
        <v>45348</v>
      </c>
      <c r="I17" s="133">
        <v>18898914294</v>
      </c>
      <c r="J17" s="267" t="s">
        <v>1657</v>
      </c>
      <c r="K17" s="134" t="s">
        <v>1658</v>
      </c>
      <c r="L17" s="49" t="s">
        <v>1659</v>
      </c>
      <c r="M17" s="9" t="s">
        <v>1660</v>
      </c>
      <c r="N17" s="49" t="s">
        <v>1659</v>
      </c>
      <c r="O17" s="32">
        <v>37783</v>
      </c>
      <c r="P17" s="33">
        <v>21</v>
      </c>
      <c r="Q17" s="9">
        <v>0</v>
      </c>
      <c r="R17" s="28" t="s">
        <v>88</v>
      </c>
      <c r="S17" s="9" t="s">
        <v>1661</v>
      </c>
      <c r="T17" s="145" t="s">
        <v>1286</v>
      </c>
      <c r="U17" s="9" t="s">
        <v>91</v>
      </c>
      <c r="V17" s="9" t="s">
        <v>92</v>
      </c>
      <c r="W17" s="9"/>
      <c r="X17" s="9"/>
      <c r="Y17" s="37"/>
      <c r="Z17" s="9"/>
      <c r="AA17" s="9"/>
      <c r="AB17" s="9"/>
      <c r="AC17" s="9"/>
      <c r="AD17" s="9"/>
      <c r="AE17" s="9"/>
      <c r="AF17" s="152" t="s">
        <v>154</v>
      </c>
      <c r="AG17" s="49" t="s">
        <v>1662</v>
      </c>
      <c r="AH17" s="152"/>
      <c r="AI17" s="9"/>
      <c r="AJ17" s="9"/>
      <c r="AK17" s="9"/>
      <c r="AL17" s="9"/>
      <c r="AM17" s="45"/>
      <c r="AN17" s="46" t="s">
        <v>194</v>
      </c>
      <c r="AO17" s="49" t="s">
        <v>1659</v>
      </c>
      <c r="AP17" s="49" t="s">
        <v>1663</v>
      </c>
      <c r="AQ17" s="47" t="s">
        <v>1664</v>
      </c>
      <c r="AR17" s="9" t="s">
        <v>214</v>
      </c>
      <c r="AS17" s="9">
        <v>45</v>
      </c>
      <c r="AT17" s="9"/>
      <c r="AU17" s="9" t="s">
        <v>1664</v>
      </c>
      <c r="AV17" s="9" t="s">
        <v>817</v>
      </c>
      <c r="AW17" s="133">
        <v>13976933617</v>
      </c>
      <c r="AX17" s="156"/>
      <c r="AY17" s="9"/>
      <c r="AZ17" s="24">
        <v>45348</v>
      </c>
      <c r="BA17" s="184"/>
      <c r="BB17" s="9" t="s">
        <v>1322</v>
      </c>
      <c r="BC17" s="185"/>
      <c r="BD17" s="53"/>
      <c r="BE17" s="24">
        <v>45359</v>
      </c>
      <c r="BF17" s="188" t="s">
        <v>1307</v>
      </c>
      <c r="BG17" s="53"/>
      <c r="BH17" s="49"/>
      <c r="BI17" s="49"/>
      <c r="BJ17" s="49"/>
      <c r="BK17" s="47"/>
      <c r="BL17" s="17"/>
      <c r="BM17" s="9"/>
      <c r="BN17" s="49"/>
      <c r="BO17" s="9"/>
      <c r="BP17" s="58"/>
      <c r="BQ17" s="49"/>
      <c r="BR17" s="9"/>
      <c r="BS17" s="9" t="s">
        <v>111</v>
      </c>
      <c r="BT17" s="9"/>
      <c r="BU17" s="204"/>
      <c r="BV17" s="47"/>
      <c r="BW17" s="47"/>
      <c r="BX17" s="24" t="s">
        <v>1661</v>
      </c>
    </row>
    <row r="18" s="102" customFormat="1" ht="24" customHeight="1" spans="1:76">
      <c r="A18" s="7">
        <v>16</v>
      </c>
      <c r="B18" s="8" t="s">
        <v>1665</v>
      </c>
      <c r="C18" s="9" t="s">
        <v>1666</v>
      </c>
      <c r="D18" s="8" t="str">
        <f t="shared" si="0"/>
        <v>男</v>
      </c>
      <c r="E18" s="9" t="s">
        <v>81</v>
      </c>
      <c r="F18" s="9" t="s">
        <v>144</v>
      </c>
      <c r="G18" s="120" t="s">
        <v>1045</v>
      </c>
      <c r="H18" s="24">
        <v>45313</v>
      </c>
      <c r="I18" s="9">
        <v>15574840598</v>
      </c>
      <c r="J18" s="137" t="s">
        <v>1667</v>
      </c>
      <c r="K18" s="9" t="s">
        <v>116</v>
      </c>
      <c r="L18" s="49" t="s">
        <v>1668</v>
      </c>
      <c r="M18" s="9" t="s">
        <v>87</v>
      </c>
      <c r="N18" s="49" t="s">
        <v>1668</v>
      </c>
      <c r="O18" s="32">
        <v>34898</v>
      </c>
      <c r="P18" s="33">
        <v>29</v>
      </c>
      <c r="Q18" s="9">
        <f ca="1" t="shared" ref="Q18:Q26" si="2">IF(H18="","",DATEDIF(H18,TODAY(),"Y"))</f>
        <v>2</v>
      </c>
      <c r="R18" s="28" t="s">
        <v>88</v>
      </c>
      <c r="S18" s="47" t="s">
        <v>403</v>
      </c>
      <c r="T18" s="8" t="s">
        <v>90</v>
      </c>
      <c r="U18" s="9" t="s">
        <v>91</v>
      </c>
      <c r="V18" s="9" t="s">
        <v>92</v>
      </c>
      <c r="W18" s="9"/>
      <c r="X18" s="9"/>
      <c r="Y18" s="49"/>
      <c r="Z18" s="9"/>
      <c r="AA18" s="9"/>
      <c r="AB18" s="9"/>
      <c r="AC18" s="9"/>
      <c r="AD18" s="9"/>
      <c r="AE18" s="9"/>
      <c r="AF18" s="9" t="s">
        <v>96</v>
      </c>
      <c r="AG18" s="9" t="s">
        <v>97</v>
      </c>
      <c r="AH18" s="9"/>
      <c r="AI18" s="9"/>
      <c r="AJ18" s="9"/>
      <c r="AK18" s="9"/>
      <c r="AL18" s="9"/>
      <c r="AM18" s="9"/>
      <c r="AN18" s="46" t="s">
        <v>194</v>
      </c>
      <c r="AO18" s="49" t="s">
        <v>1668</v>
      </c>
      <c r="AP18" s="9" t="s">
        <v>100</v>
      </c>
      <c r="AQ18" s="9" t="s">
        <v>1669</v>
      </c>
      <c r="AR18" s="9" t="s">
        <v>102</v>
      </c>
      <c r="AS18" s="9">
        <v>59</v>
      </c>
      <c r="AT18" s="9" t="s">
        <v>159</v>
      </c>
      <c r="AU18" s="9" t="s">
        <v>1670</v>
      </c>
      <c r="AV18" s="9" t="s">
        <v>197</v>
      </c>
      <c r="AW18" s="9">
        <v>15872183665</v>
      </c>
      <c r="AX18" s="49" t="s">
        <v>1671</v>
      </c>
      <c r="AY18" s="9">
        <v>0</v>
      </c>
      <c r="AZ18" s="172">
        <v>45313</v>
      </c>
      <c r="BA18" s="24">
        <v>45403</v>
      </c>
      <c r="BB18" s="9" t="s">
        <v>106</v>
      </c>
      <c r="BC18" s="47"/>
      <c r="BD18" s="9"/>
      <c r="BE18" s="24">
        <v>45380</v>
      </c>
      <c r="BF18" s="9" t="s">
        <v>1672</v>
      </c>
      <c r="BG18" s="9"/>
      <c r="BH18" s="49" t="s">
        <v>1673</v>
      </c>
      <c r="BI18" s="9"/>
      <c r="BJ18" s="9"/>
      <c r="BK18" s="9"/>
      <c r="BL18" s="282" t="s">
        <v>1674</v>
      </c>
      <c r="BM18" s="9"/>
      <c r="BN18" s="9"/>
      <c r="BO18" s="9"/>
      <c r="BP18" s="9"/>
      <c r="BQ18" s="9"/>
      <c r="BR18" s="9"/>
      <c r="BS18" s="9" t="s">
        <v>111</v>
      </c>
      <c r="BT18" s="9"/>
      <c r="BU18" s="199" t="s">
        <v>1310</v>
      </c>
      <c r="BV18" s="9"/>
      <c r="BW18" s="9"/>
      <c r="BX18" s="205" t="s">
        <v>403</v>
      </c>
    </row>
    <row r="19" s="101" customFormat="1" ht="24" customHeight="1" spans="1:76">
      <c r="A19" s="7">
        <v>17</v>
      </c>
      <c r="B19" s="9" t="s">
        <v>1675</v>
      </c>
      <c r="C19" s="9" t="s">
        <v>1676</v>
      </c>
      <c r="D19" s="8" t="str">
        <f t="shared" si="0"/>
        <v>男</v>
      </c>
      <c r="E19" s="9" t="s">
        <v>81</v>
      </c>
      <c r="F19" s="9" t="s">
        <v>144</v>
      </c>
      <c r="G19" s="17" t="s">
        <v>956</v>
      </c>
      <c r="H19" s="24">
        <v>45066</v>
      </c>
      <c r="I19" s="9">
        <v>18127907757</v>
      </c>
      <c r="J19" s="281" t="s">
        <v>1677</v>
      </c>
      <c r="K19" s="28" t="s">
        <v>1678</v>
      </c>
      <c r="L19" s="17" t="s">
        <v>1679</v>
      </c>
      <c r="M19" s="9" t="s">
        <v>149</v>
      </c>
      <c r="N19" s="17" t="s">
        <v>1679</v>
      </c>
      <c r="O19" s="32" t="s">
        <v>1680</v>
      </c>
      <c r="P19" s="33">
        <v>32.8986301369863</v>
      </c>
      <c r="Q19" s="9">
        <f ca="1" t="shared" si="2"/>
        <v>3</v>
      </c>
      <c r="R19" s="28" t="s">
        <v>88</v>
      </c>
      <c r="S19" s="9" t="s">
        <v>89</v>
      </c>
      <c r="T19" s="8" t="s">
        <v>90</v>
      </c>
      <c r="U19" s="9" t="s">
        <v>91</v>
      </c>
      <c r="V19" s="9" t="s">
        <v>92</v>
      </c>
      <c r="W19" s="9"/>
      <c r="X19" s="9"/>
      <c r="Y19" s="37" t="s">
        <v>1681</v>
      </c>
      <c r="Z19" s="9">
        <v>2021.3</v>
      </c>
      <c r="AA19" s="9">
        <v>2023.3</v>
      </c>
      <c r="AB19" s="9" t="s">
        <v>828</v>
      </c>
      <c r="AC19" s="9"/>
      <c r="AD19" s="9"/>
      <c r="AE19" s="9"/>
      <c r="AF19" s="8" t="s">
        <v>208</v>
      </c>
      <c r="AG19" s="49" t="s">
        <v>1682</v>
      </c>
      <c r="AH19" s="9" t="s">
        <v>1683</v>
      </c>
      <c r="AI19" s="9">
        <v>2006.9</v>
      </c>
      <c r="AJ19" s="9">
        <v>2008.6</v>
      </c>
      <c r="AK19" s="9"/>
      <c r="AL19" s="9"/>
      <c r="AM19" s="45"/>
      <c r="AN19" s="46" t="s">
        <v>194</v>
      </c>
      <c r="AO19" s="17" t="s">
        <v>1679</v>
      </c>
      <c r="AP19" s="49" t="s">
        <v>815</v>
      </c>
      <c r="AQ19" s="47" t="s">
        <v>1684</v>
      </c>
      <c r="AR19" s="9" t="s">
        <v>214</v>
      </c>
      <c r="AS19" s="9">
        <v>57</v>
      </c>
      <c r="AT19" s="9" t="s">
        <v>103</v>
      </c>
      <c r="AU19" s="9" t="s">
        <v>1685</v>
      </c>
      <c r="AV19" s="9" t="s">
        <v>1686</v>
      </c>
      <c r="AW19" s="9">
        <v>13277637555</v>
      </c>
      <c r="AX19" s="49" t="s">
        <v>1613</v>
      </c>
      <c r="AY19" s="9">
        <v>1</v>
      </c>
      <c r="AZ19" s="24">
        <v>45158</v>
      </c>
      <c r="BA19" s="184">
        <v>45523</v>
      </c>
      <c r="BB19" s="9" t="s">
        <v>106</v>
      </c>
      <c r="BC19" s="47"/>
      <c r="BD19" s="53"/>
      <c r="BE19" s="24">
        <v>45412</v>
      </c>
      <c r="BF19" s="188" t="s">
        <v>1687</v>
      </c>
      <c r="BG19" s="53"/>
      <c r="BH19" s="49"/>
      <c r="BI19" s="49"/>
      <c r="BJ19" s="49"/>
      <c r="BK19" s="47"/>
      <c r="BL19" s="278" t="s">
        <v>1688</v>
      </c>
      <c r="BM19" s="9" t="s">
        <v>109</v>
      </c>
      <c r="BN19" s="49" t="s">
        <v>110</v>
      </c>
      <c r="BO19" s="9">
        <v>2023.9</v>
      </c>
      <c r="BP19" s="58" t="s">
        <v>1689</v>
      </c>
      <c r="BQ19" s="279" t="s">
        <v>1690</v>
      </c>
      <c r="BR19" s="9">
        <v>2023.9</v>
      </c>
      <c r="BS19" s="9" t="s">
        <v>111</v>
      </c>
      <c r="BT19" s="9"/>
      <c r="BU19" s="199" t="s">
        <v>382</v>
      </c>
      <c r="BV19" s="47"/>
      <c r="BW19" s="47"/>
      <c r="BX19" s="203">
        <v>45158</v>
      </c>
    </row>
    <row r="20" s="101" customFormat="1" ht="24" customHeight="1" spans="1:76">
      <c r="A20" s="7">
        <v>18</v>
      </c>
      <c r="B20" s="9" t="s">
        <v>1691</v>
      </c>
      <c r="C20" s="9" t="s">
        <v>1692</v>
      </c>
      <c r="D20" s="8" t="str">
        <f t="shared" si="0"/>
        <v>女</v>
      </c>
      <c r="E20" s="9" t="s">
        <v>398</v>
      </c>
      <c r="F20" s="9" t="s">
        <v>144</v>
      </c>
      <c r="G20" s="120" t="s">
        <v>399</v>
      </c>
      <c r="H20" s="24">
        <v>45348</v>
      </c>
      <c r="I20" s="133">
        <v>17397339744</v>
      </c>
      <c r="J20" s="267" t="s">
        <v>1693</v>
      </c>
      <c r="K20" s="134" t="s">
        <v>1658</v>
      </c>
      <c r="L20" s="49" t="s">
        <v>1694</v>
      </c>
      <c r="M20" s="9" t="s">
        <v>1660</v>
      </c>
      <c r="N20" s="49" t="s">
        <v>144</v>
      </c>
      <c r="O20" s="32">
        <v>36958</v>
      </c>
      <c r="P20" s="33">
        <f>2024-2004</f>
        <v>20</v>
      </c>
      <c r="Q20" s="9">
        <f ca="1" t="shared" si="2"/>
        <v>2</v>
      </c>
      <c r="R20" s="28" t="s">
        <v>88</v>
      </c>
      <c r="S20" s="9" t="s">
        <v>403</v>
      </c>
      <c r="T20" s="145" t="s">
        <v>90</v>
      </c>
      <c r="U20" s="9" t="s">
        <v>91</v>
      </c>
      <c r="V20" s="9" t="s">
        <v>92</v>
      </c>
      <c r="W20" s="9"/>
      <c r="X20" s="9"/>
      <c r="Y20" s="37" t="s">
        <v>253</v>
      </c>
      <c r="Z20" s="9" t="s">
        <v>253</v>
      </c>
      <c r="AA20" s="9" t="s">
        <v>253</v>
      </c>
      <c r="AB20" s="9" t="s">
        <v>253</v>
      </c>
      <c r="AC20" s="9"/>
      <c r="AD20" s="9"/>
      <c r="AE20" s="9"/>
      <c r="AF20" s="152" t="s">
        <v>154</v>
      </c>
      <c r="AG20" s="49" t="s">
        <v>1695</v>
      </c>
      <c r="AH20" s="156" t="s">
        <v>1662</v>
      </c>
      <c r="AI20" s="9">
        <v>2022.9</v>
      </c>
      <c r="AJ20" s="9">
        <v>2024.6</v>
      </c>
      <c r="AK20" s="9"/>
      <c r="AL20" s="9"/>
      <c r="AM20" s="45"/>
      <c r="AN20" s="46" t="s">
        <v>194</v>
      </c>
      <c r="AO20" s="49" t="s">
        <v>1694</v>
      </c>
      <c r="AP20" s="49" t="s">
        <v>100</v>
      </c>
      <c r="AQ20" s="49" t="s">
        <v>1696</v>
      </c>
      <c r="AR20" s="9" t="s">
        <v>102</v>
      </c>
      <c r="AS20" s="9">
        <v>50</v>
      </c>
      <c r="AT20" s="9" t="s">
        <v>1130</v>
      </c>
      <c r="AU20" s="49" t="s">
        <v>1696</v>
      </c>
      <c r="AV20" s="9" t="s">
        <v>347</v>
      </c>
      <c r="AW20" s="133">
        <v>15248989984</v>
      </c>
      <c r="AX20" s="49" t="s">
        <v>1697</v>
      </c>
      <c r="AY20" s="9">
        <v>0</v>
      </c>
      <c r="AZ20" s="24">
        <v>45348</v>
      </c>
      <c r="BA20" s="184">
        <v>45448</v>
      </c>
      <c r="BB20" s="9" t="s">
        <v>1322</v>
      </c>
      <c r="BC20" s="185"/>
      <c r="BD20" s="53"/>
      <c r="BE20" s="24">
        <v>45434</v>
      </c>
      <c r="BF20" s="188" t="s">
        <v>1698</v>
      </c>
      <c r="BG20" s="53"/>
      <c r="BH20" s="49"/>
      <c r="BI20" s="49"/>
      <c r="BJ20" s="49"/>
      <c r="BK20" s="47"/>
      <c r="BL20" s="278" t="s">
        <v>1699</v>
      </c>
      <c r="BM20" s="9"/>
      <c r="BN20" s="49"/>
      <c r="BO20" s="9"/>
      <c r="BP20" s="58"/>
      <c r="BQ20" s="49"/>
      <c r="BR20" s="9"/>
      <c r="BS20" s="9" t="s">
        <v>111</v>
      </c>
      <c r="BT20" s="9"/>
      <c r="BU20" s="199" t="s">
        <v>632</v>
      </c>
      <c r="BV20" s="47"/>
      <c r="BW20" s="47"/>
      <c r="BX20" s="203" t="s">
        <v>1661</v>
      </c>
    </row>
    <row r="21" s="101" customFormat="1" ht="24" customHeight="1" spans="1:76">
      <c r="A21" s="7">
        <v>19</v>
      </c>
      <c r="B21" s="9" t="s">
        <v>1700</v>
      </c>
      <c r="C21" s="8" t="s">
        <v>1701</v>
      </c>
      <c r="D21" s="8" t="str">
        <f t="shared" si="0"/>
        <v>男</v>
      </c>
      <c r="E21" s="9" t="s">
        <v>417</v>
      </c>
      <c r="F21" s="9" t="s">
        <v>144</v>
      </c>
      <c r="G21" s="19" t="s">
        <v>516</v>
      </c>
      <c r="H21" s="18">
        <v>44166</v>
      </c>
      <c r="I21" s="8">
        <v>15071948326</v>
      </c>
      <c r="J21" s="27" t="s">
        <v>1702</v>
      </c>
      <c r="K21" s="28" t="s">
        <v>224</v>
      </c>
      <c r="L21" s="17" t="s">
        <v>1703</v>
      </c>
      <c r="M21" s="9" t="s">
        <v>149</v>
      </c>
      <c r="N21" s="17" t="s">
        <v>1703</v>
      </c>
      <c r="O21" s="32" t="s">
        <v>1704</v>
      </c>
      <c r="P21" s="33">
        <v>41.7205479452055</v>
      </c>
      <c r="Q21" s="9">
        <f ca="1" t="shared" si="2"/>
        <v>5</v>
      </c>
      <c r="R21" s="28" t="s">
        <v>88</v>
      </c>
      <c r="S21" s="9" t="s">
        <v>89</v>
      </c>
      <c r="T21" s="28" t="s">
        <v>90</v>
      </c>
      <c r="U21" s="9" t="s">
        <v>91</v>
      </c>
      <c r="V21" s="9" t="s">
        <v>92</v>
      </c>
      <c r="W21" s="9"/>
      <c r="X21" s="9"/>
      <c r="Y21" s="47"/>
      <c r="Z21" s="9"/>
      <c r="AA21" s="9"/>
      <c r="AB21" s="9"/>
      <c r="AC21" s="9"/>
      <c r="AD21" s="9"/>
      <c r="AE21" s="9"/>
      <c r="AF21" s="28" t="s">
        <v>122</v>
      </c>
      <c r="AG21" s="49" t="s">
        <v>472</v>
      </c>
      <c r="AH21" s="28"/>
      <c r="AI21" s="9">
        <v>1995.9</v>
      </c>
      <c r="AJ21" s="9">
        <v>1998.7</v>
      </c>
      <c r="AK21" s="9"/>
      <c r="AL21" s="9" t="s">
        <v>536</v>
      </c>
      <c r="AM21" s="45"/>
      <c r="AN21" s="46" t="s">
        <v>814</v>
      </c>
      <c r="AO21" s="17" t="s">
        <v>1703</v>
      </c>
      <c r="AP21" s="49" t="s">
        <v>815</v>
      </c>
      <c r="AQ21" s="9" t="s">
        <v>1705</v>
      </c>
      <c r="AR21" s="9" t="s">
        <v>214</v>
      </c>
      <c r="AS21" s="9">
        <v>65</v>
      </c>
      <c r="AT21" s="9" t="s">
        <v>103</v>
      </c>
      <c r="AU21" s="9" t="s">
        <v>1705</v>
      </c>
      <c r="AV21" s="9" t="s">
        <v>197</v>
      </c>
      <c r="AW21" s="28">
        <v>13597947746</v>
      </c>
      <c r="AX21" s="49" t="s">
        <v>936</v>
      </c>
      <c r="AY21" s="9">
        <v>3</v>
      </c>
      <c r="AZ21" s="50">
        <v>44256</v>
      </c>
      <c r="BA21" s="184">
        <v>46356</v>
      </c>
      <c r="BB21" s="9" t="s">
        <v>106</v>
      </c>
      <c r="BC21" s="185"/>
      <c r="BD21" s="53"/>
      <c r="BE21" s="24">
        <v>45436</v>
      </c>
      <c r="BF21" s="188" t="s">
        <v>1687</v>
      </c>
      <c r="BG21" s="53"/>
      <c r="BH21" s="49" t="s">
        <v>1706</v>
      </c>
      <c r="BI21" s="49"/>
      <c r="BJ21" s="49"/>
      <c r="BK21" s="47"/>
      <c r="BL21" s="278" t="s">
        <v>1707</v>
      </c>
      <c r="BM21" s="9" t="s">
        <v>109</v>
      </c>
      <c r="BN21" s="49" t="s">
        <v>110</v>
      </c>
      <c r="BO21" s="9">
        <v>2021.3</v>
      </c>
      <c r="BP21" s="58" t="s">
        <v>1708</v>
      </c>
      <c r="BQ21" s="279" t="s">
        <v>1709</v>
      </c>
      <c r="BR21" s="9">
        <v>2021.3</v>
      </c>
      <c r="BS21" s="9" t="s">
        <v>111</v>
      </c>
      <c r="BT21" s="9"/>
      <c r="BU21" s="199" t="s">
        <v>164</v>
      </c>
      <c r="BV21" s="47"/>
      <c r="BW21" s="47"/>
      <c r="BX21" s="200">
        <v>44256</v>
      </c>
    </row>
    <row r="22" s="102" customFormat="1" ht="24" customHeight="1" spans="1:76">
      <c r="A22" s="7">
        <v>20</v>
      </c>
      <c r="B22" s="8" t="s">
        <v>1710</v>
      </c>
      <c r="C22" s="9" t="s">
        <v>1711</v>
      </c>
      <c r="D22" s="8" t="str">
        <f t="shared" si="0"/>
        <v>男</v>
      </c>
      <c r="E22" s="9" t="s">
        <v>81</v>
      </c>
      <c r="F22" s="9" t="s">
        <v>144</v>
      </c>
      <c r="G22" s="120" t="s">
        <v>1045</v>
      </c>
      <c r="H22" s="24">
        <v>45285</v>
      </c>
      <c r="I22" s="9">
        <v>18672419920</v>
      </c>
      <c r="J22" s="137" t="s">
        <v>1712</v>
      </c>
      <c r="K22" s="9" t="s">
        <v>116</v>
      </c>
      <c r="L22" s="49" t="s">
        <v>1713</v>
      </c>
      <c r="M22" s="9" t="s">
        <v>87</v>
      </c>
      <c r="N22" s="49" t="s">
        <v>1713</v>
      </c>
      <c r="O22" s="32"/>
      <c r="P22" s="33">
        <v>18</v>
      </c>
      <c r="Q22" s="9">
        <f ca="1" t="shared" si="2"/>
        <v>2</v>
      </c>
      <c r="R22" s="28" t="s">
        <v>88</v>
      </c>
      <c r="S22" s="47" t="s">
        <v>89</v>
      </c>
      <c r="T22" s="8" t="s">
        <v>90</v>
      </c>
      <c r="U22" s="9" t="s">
        <v>91</v>
      </c>
      <c r="V22" s="9" t="s">
        <v>92</v>
      </c>
      <c r="W22" s="9"/>
      <c r="X22" s="9"/>
      <c r="Y22" s="49" t="s">
        <v>1714</v>
      </c>
      <c r="Z22" s="9">
        <v>2023.7</v>
      </c>
      <c r="AA22" s="9">
        <v>2023.8</v>
      </c>
      <c r="AB22" s="9" t="s">
        <v>1715</v>
      </c>
      <c r="AC22" s="9"/>
      <c r="AD22" s="9"/>
      <c r="AE22" s="9"/>
      <c r="AF22" s="9" t="s">
        <v>96</v>
      </c>
      <c r="AG22" s="9" t="s">
        <v>97</v>
      </c>
      <c r="AH22" s="9"/>
      <c r="AI22" s="9"/>
      <c r="AJ22" s="9"/>
      <c r="AK22" s="9"/>
      <c r="AL22" s="9"/>
      <c r="AM22" s="9"/>
      <c r="AN22" s="46" t="s">
        <v>194</v>
      </c>
      <c r="AO22" s="49" t="s">
        <v>1713</v>
      </c>
      <c r="AP22" s="9" t="s">
        <v>100</v>
      </c>
      <c r="AQ22" s="9" t="s">
        <v>1716</v>
      </c>
      <c r="AR22" s="9" t="s">
        <v>102</v>
      </c>
      <c r="AS22" s="9"/>
      <c r="AT22" s="9" t="s">
        <v>159</v>
      </c>
      <c r="AU22" s="9" t="s">
        <v>1717</v>
      </c>
      <c r="AV22" s="9" t="s">
        <v>1718</v>
      </c>
      <c r="AW22" s="9">
        <v>15572573935</v>
      </c>
      <c r="AX22" s="49" t="s">
        <v>1719</v>
      </c>
      <c r="AY22" s="9">
        <v>1</v>
      </c>
      <c r="AZ22" s="172">
        <v>45285</v>
      </c>
      <c r="BA22" s="24">
        <v>45716</v>
      </c>
      <c r="BB22" s="9" t="s">
        <v>128</v>
      </c>
      <c r="BC22" s="47" t="s">
        <v>1635</v>
      </c>
      <c r="BD22" s="9"/>
      <c r="BE22" s="24">
        <v>45444</v>
      </c>
      <c r="BF22" s="9" t="s">
        <v>1720</v>
      </c>
      <c r="BG22" s="9"/>
      <c r="BH22" s="49"/>
      <c r="BI22" s="9"/>
      <c r="BJ22" s="9"/>
      <c r="BK22" s="9"/>
      <c r="BL22" s="282" t="s">
        <v>1721</v>
      </c>
      <c r="BM22" s="9" t="s">
        <v>109</v>
      </c>
      <c r="BN22" s="49" t="s">
        <v>110</v>
      </c>
      <c r="BO22" s="49">
        <v>2024.3</v>
      </c>
      <c r="BP22" s="9"/>
      <c r="BQ22" s="9"/>
      <c r="BR22" s="49">
        <v>2024.3</v>
      </c>
      <c r="BS22" s="9" t="s">
        <v>111</v>
      </c>
      <c r="BT22" s="9"/>
      <c r="BU22" s="199" t="s">
        <v>1722</v>
      </c>
      <c r="BV22" s="9"/>
      <c r="BW22" s="9"/>
      <c r="BX22" s="180">
        <v>45352</v>
      </c>
    </row>
    <row r="23" s="101" customFormat="1" ht="24" customHeight="1" spans="1:76">
      <c r="A23" s="7">
        <v>21</v>
      </c>
      <c r="B23" s="9" t="s">
        <v>1723</v>
      </c>
      <c r="C23" s="111" t="s">
        <v>1724</v>
      </c>
      <c r="D23" s="8" t="str">
        <f t="shared" si="0"/>
        <v>男</v>
      </c>
      <c r="E23" s="9" t="s">
        <v>644</v>
      </c>
      <c r="F23" s="9" t="s">
        <v>144</v>
      </c>
      <c r="G23" s="117" t="s">
        <v>710</v>
      </c>
      <c r="H23" s="18">
        <v>43164</v>
      </c>
      <c r="I23" s="58">
        <v>13771282978</v>
      </c>
      <c r="J23" s="275" t="s">
        <v>1725</v>
      </c>
      <c r="K23" s="28" t="s">
        <v>116</v>
      </c>
      <c r="L23" s="58" t="s">
        <v>1726</v>
      </c>
      <c r="M23" s="9" t="s">
        <v>149</v>
      </c>
      <c r="N23" s="58" t="s">
        <v>1726</v>
      </c>
      <c r="O23" s="32" t="s">
        <v>1727</v>
      </c>
      <c r="P23" s="33">
        <v>59.0191780821918</v>
      </c>
      <c r="Q23" s="9">
        <f ca="1" t="shared" si="2"/>
        <v>8</v>
      </c>
      <c r="R23" s="28" t="s">
        <v>88</v>
      </c>
      <c r="S23" s="9" t="s">
        <v>89</v>
      </c>
      <c r="T23" s="28" t="s">
        <v>90</v>
      </c>
      <c r="U23" s="9" t="s">
        <v>91</v>
      </c>
      <c r="V23" s="9" t="s">
        <v>92</v>
      </c>
      <c r="W23" s="9"/>
      <c r="X23" s="9"/>
      <c r="Y23" s="37" t="s">
        <v>1728</v>
      </c>
      <c r="Z23" s="9">
        <v>2000.1</v>
      </c>
      <c r="AA23" s="9">
        <v>2017.12</v>
      </c>
      <c r="AB23" s="9" t="s">
        <v>693</v>
      </c>
      <c r="AC23" s="9"/>
      <c r="AD23" s="9" t="s">
        <v>1729</v>
      </c>
      <c r="AE23" s="9"/>
      <c r="AF23" s="111" t="s">
        <v>96</v>
      </c>
      <c r="AG23" s="49"/>
      <c r="AH23" s="58"/>
      <c r="AI23" s="9"/>
      <c r="AJ23" s="9"/>
      <c r="AK23" s="9" t="s">
        <v>1730</v>
      </c>
      <c r="AL23" s="49" t="s">
        <v>1731</v>
      </c>
      <c r="AM23" s="45"/>
      <c r="AN23" s="46" t="s">
        <v>99</v>
      </c>
      <c r="AO23" s="58" t="s">
        <v>1726</v>
      </c>
      <c r="AP23" s="49" t="s">
        <v>212</v>
      </c>
      <c r="AQ23" s="9" t="s">
        <v>1732</v>
      </c>
      <c r="AR23" s="9" t="s">
        <v>214</v>
      </c>
      <c r="AS23" s="9">
        <v>60</v>
      </c>
      <c r="AT23" s="9" t="s">
        <v>159</v>
      </c>
      <c r="AU23" s="9" t="s">
        <v>1732</v>
      </c>
      <c r="AV23" s="9" t="s">
        <v>104</v>
      </c>
      <c r="AW23" s="58">
        <v>15572573360</v>
      </c>
      <c r="AX23" s="49" t="s">
        <v>1733</v>
      </c>
      <c r="AY23" s="9">
        <v>4</v>
      </c>
      <c r="AZ23" s="50">
        <v>43255</v>
      </c>
      <c r="BA23" s="184">
        <v>45447</v>
      </c>
      <c r="BB23" s="9" t="s">
        <v>106</v>
      </c>
      <c r="BC23" s="185"/>
      <c r="BD23" s="53"/>
      <c r="BE23" s="24">
        <v>45448</v>
      </c>
      <c r="BF23" s="188" t="s">
        <v>1307</v>
      </c>
      <c r="BG23" s="53"/>
      <c r="BH23" s="49"/>
      <c r="BI23" s="49"/>
      <c r="BJ23" s="49"/>
      <c r="BK23" s="47"/>
      <c r="BL23" s="278" t="s">
        <v>1734</v>
      </c>
      <c r="BM23" s="9" t="s">
        <v>109</v>
      </c>
      <c r="BN23" s="49" t="s">
        <v>110</v>
      </c>
      <c r="BO23" s="9">
        <v>2018.7</v>
      </c>
      <c r="BP23" s="58" t="s">
        <v>1735</v>
      </c>
      <c r="BQ23" s="279" t="s">
        <v>1736</v>
      </c>
      <c r="BR23" s="9">
        <v>2018.7</v>
      </c>
      <c r="BS23" s="9" t="s">
        <v>111</v>
      </c>
      <c r="BT23" s="9"/>
      <c r="BU23" s="199" t="s">
        <v>775</v>
      </c>
      <c r="BV23" s="47"/>
      <c r="BW23" s="47"/>
      <c r="BX23" s="200">
        <v>43255</v>
      </c>
    </row>
    <row r="24" s="103" customFormat="1" ht="24" customHeight="1" spans="1:76">
      <c r="A24" s="7">
        <v>22</v>
      </c>
      <c r="B24" s="47" t="s">
        <v>1737</v>
      </c>
      <c r="C24" s="112" t="s">
        <v>1738</v>
      </c>
      <c r="D24" s="111" t="str">
        <f t="shared" si="0"/>
        <v>男</v>
      </c>
      <c r="E24" s="121" t="s">
        <v>81</v>
      </c>
      <c r="F24" s="47" t="s">
        <v>144</v>
      </c>
      <c r="G24" s="116" t="s">
        <v>1739</v>
      </c>
      <c r="H24" s="18">
        <v>42075</v>
      </c>
      <c r="I24" s="130">
        <v>13762025906</v>
      </c>
      <c r="J24" s="27" t="s">
        <v>1740</v>
      </c>
      <c r="K24" s="28" t="s">
        <v>258</v>
      </c>
      <c r="L24" s="28" t="s">
        <v>1741</v>
      </c>
      <c r="M24" s="47" t="s">
        <v>187</v>
      </c>
      <c r="N24" s="37" t="s">
        <v>144</v>
      </c>
      <c r="O24" s="142" t="s">
        <v>1742</v>
      </c>
      <c r="P24" s="34">
        <v>56.0602739726027</v>
      </c>
      <c r="Q24" s="47">
        <f ca="1" t="shared" si="2"/>
        <v>11</v>
      </c>
      <c r="R24" s="28" t="s">
        <v>88</v>
      </c>
      <c r="S24" s="47" t="s">
        <v>245</v>
      </c>
      <c r="T24" s="58" t="s">
        <v>150</v>
      </c>
      <c r="U24" s="47" t="s">
        <v>91</v>
      </c>
      <c r="V24" s="47" t="s">
        <v>92</v>
      </c>
      <c r="W24" s="47" t="s">
        <v>151</v>
      </c>
      <c r="X24" s="47"/>
      <c r="Y24" s="47" t="s">
        <v>1743</v>
      </c>
      <c r="Z24" s="47">
        <v>1987.1</v>
      </c>
      <c r="AA24" s="47">
        <v>2015.3</v>
      </c>
      <c r="AB24" s="47"/>
      <c r="AC24" s="47"/>
      <c r="AD24" s="47"/>
      <c r="AE24" s="47"/>
      <c r="AF24" s="28" t="s">
        <v>96</v>
      </c>
      <c r="AG24" s="37" t="s">
        <v>1535</v>
      </c>
      <c r="AH24" s="28"/>
      <c r="AI24" s="47">
        <v>1984.9</v>
      </c>
      <c r="AJ24" s="47">
        <v>1987.7</v>
      </c>
      <c r="AK24" s="47"/>
      <c r="AL24" s="163" t="s">
        <v>98</v>
      </c>
      <c r="AM24" s="47"/>
      <c r="AN24" s="111" t="s">
        <v>99</v>
      </c>
      <c r="AO24" s="37" t="s">
        <v>1741</v>
      </c>
      <c r="AP24" s="37" t="s">
        <v>123</v>
      </c>
      <c r="AQ24" s="47" t="s">
        <v>1744</v>
      </c>
      <c r="AR24" s="47" t="s">
        <v>102</v>
      </c>
      <c r="AS24" s="47">
        <v>31</v>
      </c>
      <c r="AT24" s="47" t="s">
        <v>178</v>
      </c>
      <c r="AU24" s="47" t="s">
        <v>1745</v>
      </c>
      <c r="AV24" s="47" t="s">
        <v>104</v>
      </c>
      <c r="AW24" s="130">
        <v>13786005838</v>
      </c>
      <c r="AX24" s="37" t="s">
        <v>1525</v>
      </c>
      <c r="AY24" s="47">
        <v>9</v>
      </c>
      <c r="AZ24" s="50">
        <v>42166</v>
      </c>
      <c r="BA24" s="123">
        <v>45565</v>
      </c>
      <c r="BB24" s="47" t="s">
        <v>106</v>
      </c>
      <c r="BC24" s="47"/>
      <c r="BD24" s="47"/>
      <c r="BE24" s="123">
        <v>45473</v>
      </c>
      <c r="BF24" s="37" t="s">
        <v>1746</v>
      </c>
      <c r="BG24" s="47"/>
      <c r="BH24" s="37" t="s">
        <v>1747</v>
      </c>
      <c r="BI24" s="37"/>
      <c r="BJ24" s="37"/>
      <c r="BK24" s="47"/>
      <c r="BL24" s="268" t="s">
        <v>1748</v>
      </c>
      <c r="BM24" s="47"/>
      <c r="BN24" s="47"/>
      <c r="BO24" s="47"/>
      <c r="BP24" s="58"/>
      <c r="BQ24" s="37"/>
      <c r="BR24" s="47"/>
      <c r="BS24" s="47" t="s">
        <v>111</v>
      </c>
      <c r="BT24" s="47">
        <v>502</v>
      </c>
      <c r="BU24" s="206" t="s">
        <v>164</v>
      </c>
      <c r="BV24" s="47"/>
      <c r="BW24" s="47"/>
      <c r="BX24" s="200">
        <v>42166</v>
      </c>
    </row>
    <row r="25" s="103" customFormat="1" ht="24" customHeight="1" spans="1:76">
      <c r="A25" s="7">
        <v>23</v>
      </c>
      <c r="B25" s="47" t="s">
        <v>1749</v>
      </c>
      <c r="C25" s="111" t="s">
        <v>1750</v>
      </c>
      <c r="D25" s="111" t="str">
        <f t="shared" ref="D25:D31" si="3">IF(MOD(MID(J25,17,1),2)=1,"男","女")</f>
        <v>男</v>
      </c>
      <c r="E25" s="47" t="s">
        <v>81</v>
      </c>
      <c r="F25" s="47" t="s">
        <v>144</v>
      </c>
      <c r="G25" s="117" t="s">
        <v>121</v>
      </c>
      <c r="H25" s="18">
        <v>45474</v>
      </c>
      <c r="I25" s="111">
        <v>15908668840</v>
      </c>
      <c r="J25" s="265" t="s">
        <v>1751</v>
      </c>
      <c r="K25" s="103" t="s">
        <v>224</v>
      </c>
      <c r="L25" s="28" t="s">
        <v>1752</v>
      </c>
      <c r="M25" s="47" t="s">
        <v>149</v>
      </c>
      <c r="N25" s="28" t="s">
        <v>1752</v>
      </c>
      <c r="O25" s="142">
        <v>31440</v>
      </c>
      <c r="P25" s="34">
        <f>2024-1986</f>
        <v>38</v>
      </c>
      <c r="Q25" s="47">
        <f ca="1" t="shared" si="2"/>
        <v>1</v>
      </c>
      <c r="R25" s="28" t="s">
        <v>88</v>
      </c>
      <c r="S25" s="47" t="s">
        <v>403</v>
      </c>
      <c r="T25" s="28" t="s">
        <v>90</v>
      </c>
      <c r="U25" s="47" t="s">
        <v>91</v>
      </c>
      <c r="V25" s="47" t="s">
        <v>92</v>
      </c>
      <c r="W25" s="47"/>
      <c r="X25" s="47"/>
      <c r="Y25" s="37" t="s">
        <v>1753</v>
      </c>
      <c r="Z25" s="47">
        <v>2022.1</v>
      </c>
      <c r="AA25" s="47">
        <v>2023.12</v>
      </c>
      <c r="AB25" s="47" t="s">
        <v>1754</v>
      </c>
      <c r="AC25" s="47"/>
      <c r="AD25" s="47"/>
      <c r="AE25" s="47"/>
      <c r="AF25" s="28" t="s">
        <v>96</v>
      </c>
      <c r="AG25" s="37"/>
      <c r="AH25" s="28"/>
      <c r="AI25" s="47"/>
      <c r="AJ25" s="47"/>
      <c r="AK25" s="47"/>
      <c r="AL25" s="47"/>
      <c r="AM25" s="47"/>
      <c r="AN25" s="111" t="s">
        <v>194</v>
      </c>
      <c r="AO25" s="58" t="s">
        <v>1752</v>
      </c>
      <c r="AP25" s="47" t="s">
        <v>815</v>
      </c>
      <c r="AQ25" s="47" t="s">
        <v>1755</v>
      </c>
      <c r="AR25" s="47" t="s">
        <v>214</v>
      </c>
      <c r="AS25" s="47">
        <v>63</v>
      </c>
      <c r="AT25" s="47" t="s">
        <v>1130</v>
      </c>
      <c r="AU25" s="47" t="s">
        <v>1755</v>
      </c>
      <c r="AV25" s="47" t="s">
        <v>197</v>
      </c>
      <c r="AW25" s="28">
        <v>18772739330</v>
      </c>
      <c r="AX25" s="175" t="s">
        <v>1756</v>
      </c>
      <c r="AY25" s="47">
        <v>0</v>
      </c>
      <c r="AZ25" s="122">
        <v>45474</v>
      </c>
      <c r="BA25" s="123">
        <v>45565</v>
      </c>
      <c r="BB25" s="47" t="s">
        <v>106</v>
      </c>
      <c r="BC25" s="47"/>
      <c r="BD25" s="47"/>
      <c r="BE25" s="123">
        <v>45481</v>
      </c>
      <c r="BF25" s="37" t="s">
        <v>1757</v>
      </c>
      <c r="BG25" s="47"/>
      <c r="BH25" s="37"/>
      <c r="BI25" s="37"/>
      <c r="BJ25" s="37"/>
      <c r="BK25" s="47"/>
      <c r="BL25" s="268" t="s">
        <v>1758</v>
      </c>
      <c r="BM25" s="47"/>
      <c r="BN25" s="37"/>
      <c r="BO25" s="197"/>
      <c r="BP25" s="58"/>
      <c r="BQ25" s="37"/>
      <c r="BR25" s="197"/>
      <c r="BS25" s="47" t="s">
        <v>111</v>
      </c>
      <c r="BT25" s="47"/>
      <c r="BU25" s="206" t="s">
        <v>1278</v>
      </c>
      <c r="BV25" s="47"/>
      <c r="BW25" s="47"/>
      <c r="BX25" s="207" t="s">
        <v>403</v>
      </c>
    </row>
    <row r="26" s="103" customFormat="1" ht="24" customHeight="1" spans="1:76">
      <c r="A26" s="7">
        <v>24</v>
      </c>
      <c r="B26" s="47" t="s">
        <v>1759</v>
      </c>
      <c r="C26" s="111" t="s">
        <v>1760</v>
      </c>
      <c r="D26" s="111" t="str">
        <f t="shared" si="3"/>
        <v>男</v>
      </c>
      <c r="E26" s="47" t="s">
        <v>81</v>
      </c>
      <c r="F26" s="47" t="s">
        <v>144</v>
      </c>
      <c r="G26" s="117" t="s">
        <v>121</v>
      </c>
      <c r="H26" s="18">
        <v>45474</v>
      </c>
      <c r="I26" s="111">
        <v>13469772350</v>
      </c>
      <c r="J26" s="265" t="s">
        <v>1761</v>
      </c>
      <c r="K26" s="103" t="s">
        <v>116</v>
      </c>
      <c r="L26" s="28" t="s">
        <v>1762</v>
      </c>
      <c r="M26" s="47" t="s">
        <v>149</v>
      </c>
      <c r="N26" s="28" t="s">
        <v>1762</v>
      </c>
      <c r="O26" s="142">
        <v>38681</v>
      </c>
      <c r="P26" s="34">
        <f>2024-2005</f>
        <v>19</v>
      </c>
      <c r="Q26" s="47">
        <f ca="1" t="shared" si="2"/>
        <v>1</v>
      </c>
      <c r="R26" s="28" t="s">
        <v>88</v>
      </c>
      <c r="S26" s="47" t="s">
        <v>403</v>
      </c>
      <c r="T26" s="28" t="s">
        <v>90</v>
      </c>
      <c r="U26" s="47" t="s">
        <v>91</v>
      </c>
      <c r="V26" s="47" t="s">
        <v>92</v>
      </c>
      <c r="W26" s="47"/>
      <c r="X26" s="47"/>
      <c r="Y26" s="37"/>
      <c r="Z26" s="47"/>
      <c r="AA26" s="47"/>
      <c r="AB26" s="47"/>
      <c r="AC26" s="47"/>
      <c r="AD26" s="47"/>
      <c r="AE26" s="47"/>
      <c r="AF26" s="28" t="s">
        <v>208</v>
      </c>
      <c r="AG26" s="37" t="s">
        <v>1763</v>
      </c>
      <c r="AH26" s="28" t="s">
        <v>1764</v>
      </c>
      <c r="AI26" s="47">
        <v>2021.9</v>
      </c>
      <c r="AJ26" s="47">
        <v>2024.6</v>
      </c>
      <c r="AK26" s="47"/>
      <c r="AL26" s="47"/>
      <c r="AM26" s="47"/>
      <c r="AN26" s="111" t="s">
        <v>194</v>
      </c>
      <c r="AO26" s="28" t="s">
        <v>1762</v>
      </c>
      <c r="AP26" s="47" t="s">
        <v>100</v>
      </c>
      <c r="AQ26" s="47" t="s">
        <v>1765</v>
      </c>
      <c r="AR26" s="47" t="s">
        <v>102</v>
      </c>
      <c r="AS26" s="47">
        <v>45</v>
      </c>
      <c r="AT26" s="47" t="s">
        <v>1130</v>
      </c>
      <c r="AU26" s="47" t="s">
        <v>1765</v>
      </c>
      <c r="AV26" s="47" t="s">
        <v>393</v>
      </c>
      <c r="AW26" s="28">
        <v>13451202528</v>
      </c>
      <c r="AX26" s="175" t="s">
        <v>1756</v>
      </c>
      <c r="AY26" s="47">
        <v>0</v>
      </c>
      <c r="AZ26" s="122">
        <v>45474</v>
      </c>
      <c r="BA26" s="123">
        <v>45565</v>
      </c>
      <c r="BB26" s="47" t="s">
        <v>128</v>
      </c>
      <c r="BC26" s="47" t="s">
        <v>203</v>
      </c>
      <c r="BD26" s="47"/>
      <c r="BE26" s="123">
        <v>45481</v>
      </c>
      <c r="BF26" s="37" t="s">
        <v>1766</v>
      </c>
      <c r="BG26" s="47"/>
      <c r="BH26" s="37"/>
      <c r="BI26" s="37"/>
      <c r="BJ26" s="37"/>
      <c r="BK26" s="47"/>
      <c r="BL26" s="268" t="s">
        <v>1767</v>
      </c>
      <c r="BM26" s="47"/>
      <c r="BN26" s="37"/>
      <c r="BO26" s="197"/>
      <c r="BP26" s="58"/>
      <c r="BQ26" s="37"/>
      <c r="BR26" s="197"/>
      <c r="BS26" s="47" t="s">
        <v>111</v>
      </c>
      <c r="BT26" s="47"/>
      <c r="BU26" s="206" t="s">
        <v>1278</v>
      </c>
      <c r="BV26" s="47"/>
      <c r="BW26" s="47"/>
      <c r="BX26" s="207" t="s">
        <v>403</v>
      </c>
    </row>
    <row r="27" s="103" customFormat="1" ht="24" customHeight="1" spans="1:76">
      <c r="A27" s="7">
        <v>25</v>
      </c>
      <c r="B27" s="47" t="s">
        <v>1768</v>
      </c>
      <c r="C27" s="111" t="s">
        <v>1152</v>
      </c>
      <c r="D27" s="111" t="str">
        <f t="shared" si="3"/>
        <v>男</v>
      </c>
      <c r="E27" s="47" t="s">
        <v>81</v>
      </c>
      <c r="F27" s="47" t="s">
        <v>144</v>
      </c>
      <c r="G27" s="117" t="s">
        <v>1045</v>
      </c>
      <c r="H27" s="122">
        <v>44270</v>
      </c>
      <c r="I27" s="111">
        <v>18913087894</v>
      </c>
      <c r="J27" s="111" t="s">
        <v>1154</v>
      </c>
      <c r="K27" s="111" t="s">
        <v>1155</v>
      </c>
      <c r="L27" s="58" t="s">
        <v>1156</v>
      </c>
      <c r="M27" s="47" t="s">
        <v>149</v>
      </c>
      <c r="N27" s="37" t="s">
        <v>144</v>
      </c>
      <c r="O27" s="142" t="s">
        <v>1769</v>
      </c>
      <c r="P27" s="34">
        <v>25.4465753424658</v>
      </c>
      <c r="Q27" s="47">
        <v>4</v>
      </c>
      <c r="R27" s="28" t="s">
        <v>88</v>
      </c>
      <c r="S27" s="47" t="s">
        <v>89</v>
      </c>
      <c r="T27" s="28" t="s">
        <v>90</v>
      </c>
      <c r="U27" s="47" t="s">
        <v>91</v>
      </c>
      <c r="V27" s="47" t="s">
        <v>92</v>
      </c>
      <c r="W27" s="47"/>
      <c r="X27" s="47"/>
      <c r="Y27" s="37" t="s">
        <v>1157</v>
      </c>
      <c r="Z27" s="47">
        <v>2019</v>
      </c>
      <c r="AA27" s="47">
        <v>2020</v>
      </c>
      <c r="AB27" s="47" t="s">
        <v>499</v>
      </c>
      <c r="AC27" s="47"/>
      <c r="AD27" s="47" t="s">
        <v>1158</v>
      </c>
      <c r="AE27" s="47">
        <v>13849160533</v>
      </c>
      <c r="AF27" s="111" t="s">
        <v>96</v>
      </c>
      <c r="AG27" s="37" t="s">
        <v>1159</v>
      </c>
      <c r="AH27" s="111">
        <v>2013.9</v>
      </c>
      <c r="AI27" s="47">
        <v>2015.7</v>
      </c>
      <c r="AJ27" s="47"/>
      <c r="AK27" s="47"/>
      <c r="AL27" s="47"/>
      <c r="AM27" s="47"/>
      <c r="AN27" s="111" t="s">
        <v>194</v>
      </c>
      <c r="AO27" s="37" t="s">
        <v>1156</v>
      </c>
      <c r="AP27" s="37" t="s">
        <v>100</v>
      </c>
      <c r="AQ27" s="47" t="s">
        <v>1160</v>
      </c>
      <c r="AR27" s="47" t="s">
        <v>102</v>
      </c>
      <c r="AS27" s="47">
        <v>48</v>
      </c>
      <c r="AT27" s="47" t="s">
        <v>883</v>
      </c>
      <c r="AU27" s="47" t="s">
        <v>1160</v>
      </c>
      <c r="AV27" s="47" t="s">
        <v>393</v>
      </c>
      <c r="AW27" s="111">
        <v>18255038858</v>
      </c>
      <c r="AX27" s="37" t="s">
        <v>1770</v>
      </c>
      <c r="AY27" s="47">
        <v>4</v>
      </c>
      <c r="AZ27" s="122">
        <v>44270</v>
      </c>
      <c r="BA27" s="123">
        <v>45730</v>
      </c>
      <c r="BB27" s="47" t="s">
        <v>106</v>
      </c>
      <c r="BC27" s="47"/>
      <c r="BD27" s="47"/>
      <c r="BE27" s="123">
        <v>45485</v>
      </c>
      <c r="BF27" s="37" t="s">
        <v>1771</v>
      </c>
      <c r="BG27" s="47"/>
      <c r="BH27" s="37" t="s">
        <v>1162</v>
      </c>
      <c r="BI27" s="37"/>
      <c r="BJ27" s="37"/>
      <c r="BK27" s="47"/>
      <c r="BL27" s="268" t="s">
        <v>1163</v>
      </c>
      <c r="BM27" s="47" t="s">
        <v>109</v>
      </c>
      <c r="BN27" s="37" t="s">
        <v>110</v>
      </c>
      <c r="BO27" s="47">
        <v>2021.6</v>
      </c>
      <c r="BP27" s="58" t="s">
        <v>1164</v>
      </c>
      <c r="BQ27" s="269" t="s">
        <v>1165</v>
      </c>
      <c r="BR27" s="47">
        <v>2021.6</v>
      </c>
      <c r="BS27" s="47" t="s">
        <v>111</v>
      </c>
      <c r="BT27" s="47">
        <v>504</v>
      </c>
      <c r="BU27" s="206" t="s">
        <v>164</v>
      </c>
      <c r="BV27" s="47"/>
      <c r="BW27" s="47"/>
      <c r="BX27" s="207">
        <v>44317</v>
      </c>
    </row>
    <row r="28" s="103" customFormat="1" ht="24" customHeight="1" spans="1:76">
      <c r="A28" s="7">
        <v>26</v>
      </c>
      <c r="B28" s="47" t="s">
        <v>1772</v>
      </c>
      <c r="C28" s="111" t="s">
        <v>1773</v>
      </c>
      <c r="D28" s="111" t="str">
        <f t="shared" si="3"/>
        <v>男</v>
      </c>
      <c r="E28" s="47" t="s">
        <v>81</v>
      </c>
      <c r="F28" s="47" t="s">
        <v>144</v>
      </c>
      <c r="G28" s="117" t="s">
        <v>1774</v>
      </c>
      <c r="H28" s="18">
        <v>43615</v>
      </c>
      <c r="I28" s="111">
        <v>15172214105</v>
      </c>
      <c r="J28" s="265" t="s">
        <v>1775</v>
      </c>
      <c r="K28" s="28" t="s">
        <v>1776</v>
      </c>
      <c r="L28" s="28" t="s">
        <v>1777</v>
      </c>
      <c r="M28" s="47" t="s">
        <v>282</v>
      </c>
      <c r="N28" s="37" t="s">
        <v>144</v>
      </c>
      <c r="O28" s="142" t="s">
        <v>1778</v>
      </c>
      <c r="P28" s="34">
        <v>38.6684931506849</v>
      </c>
      <c r="Q28" s="47">
        <f ca="1" t="shared" ref="Q28:Q38" si="4">IF(H28="","",DATEDIF(H28,TODAY(),"Y"))</f>
        <v>7</v>
      </c>
      <c r="R28" s="28" t="s">
        <v>88</v>
      </c>
      <c r="S28" s="47" t="s">
        <v>89</v>
      </c>
      <c r="T28" s="58" t="s">
        <v>90</v>
      </c>
      <c r="U28" s="47" t="s">
        <v>91</v>
      </c>
      <c r="V28" s="47" t="s">
        <v>92</v>
      </c>
      <c r="W28" s="47" t="s">
        <v>151</v>
      </c>
      <c r="X28" s="47"/>
      <c r="Y28" s="37" t="s">
        <v>1779</v>
      </c>
      <c r="Z28" s="47">
        <v>2015.3</v>
      </c>
      <c r="AA28" s="47">
        <v>2018.4</v>
      </c>
      <c r="AB28" s="47"/>
      <c r="AC28" s="47"/>
      <c r="AD28" s="47" t="s">
        <v>1780</v>
      </c>
      <c r="AE28" s="47"/>
      <c r="AF28" s="111" t="s">
        <v>154</v>
      </c>
      <c r="AG28" s="37" t="s">
        <v>1781</v>
      </c>
      <c r="AH28" s="28" t="s">
        <v>1782</v>
      </c>
      <c r="AI28" s="47">
        <v>2003.9</v>
      </c>
      <c r="AJ28" s="47">
        <v>2006.6</v>
      </c>
      <c r="AK28" s="47"/>
      <c r="AL28" s="47"/>
      <c r="AM28" s="47"/>
      <c r="AN28" s="111" t="s">
        <v>99</v>
      </c>
      <c r="AO28" s="37" t="s">
        <v>1777</v>
      </c>
      <c r="AP28" s="37" t="s">
        <v>100</v>
      </c>
      <c r="AQ28" s="47" t="s">
        <v>1783</v>
      </c>
      <c r="AR28" s="47" t="s">
        <v>102</v>
      </c>
      <c r="AS28" s="47">
        <v>68</v>
      </c>
      <c r="AT28" s="47" t="s">
        <v>538</v>
      </c>
      <c r="AU28" s="47" t="s">
        <v>1784</v>
      </c>
      <c r="AV28" s="47" t="s">
        <v>104</v>
      </c>
      <c r="AW28" s="28">
        <v>18571139390</v>
      </c>
      <c r="AX28" s="37" t="s">
        <v>474</v>
      </c>
      <c r="AY28" s="47">
        <v>4</v>
      </c>
      <c r="AZ28" s="50">
        <v>43709</v>
      </c>
      <c r="BA28" s="123">
        <v>45900</v>
      </c>
      <c r="BB28" s="47" t="s">
        <v>106</v>
      </c>
      <c r="BC28" s="47"/>
      <c r="BD28" s="47"/>
      <c r="BE28" s="123">
        <v>45504</v>
      </c>
      <c r="BF28" s="37" t="s">
        <v>786</v>
      </c>
      <c r="BG28" s="47"/>
      <c r="BH28" s="37" t="s">
        <v>1785</v>
      </c>
      <c r="BI28" s="37"/>
      <c r="BJ28" s="37"/>
      <c r="BK28" s="47"/>
      <c r="BL28" s="268" t="s">
        <v>1786</v>
      </c>
      <c r="BM28" s="47" t="s">
        <v>109</v>
      </c>
      <c r="BN28" s="37" t="s">
        <v>110</v>
      </c>
      <c r="BO28" s="47">
        <v>2019.9</v>
      </c>
      <c r="BP28" s="58" t="s">
        <v>1787</v>
      </c>
      <c r="BQ28" s="269" t="s">
        <v>1788</v>
      </c>
      <c r="BR28" s="47">
        <v>2019.9</v>
      </c>
      <c r="BS28" s="47" t="s">
        <v>111</v>
      </c>
      <c r="BT28" s="47">
        <v>505</v>
      </c>
      <c r="BU28" s="206" t="s">
        <v>164</v>
      </c>
      <c r="BV28" s="47"/>
      <c r="BW28" s="47"/>
      <c r="BX28" s="200">
        <v>43709</v>
      </c>
    </row>
    <row r="29" s="103" customFormat="1" ht="24" customHeight="1" spans="1:76">
      <c r="A29" s="7">
        <v>27</v>
      </c>
      <c r="B29" s="47" t="s">
        <v>1789</v>
      </c>
      <c r="C29" s="111" t="s">
        <v>1297</v>
      </c>
      <c r="D29" s="111" t="str">
        <f t="shared" si="3"/>
        <v>女</v>
      </c>
      <c r="E29" s="47" t="s">
        <v>1264</v>
      </c>
      <c r="F29" s="47" t="s">
        <v>144</v>
      </c>
      <c r="G29" s="117" t="s">
        <v>1281</v>
      </c>
      <c r="H29" s="18">
        <v>43222</v>
      </c>
      <c r="I29" s="130">
        <v>13451168027</v>
      </c>
      <c r="J29" s="27" t="s">
        <v>1298</v>
      </c>
      <c r="K29" s="28" t="s">
        <v>1170</v>
      </c>
      <c r="L29" s="28" t="s">
        <v>1299</v>
      </c>
      <c r="M29" s="47" t="s">
        <v>149</v>
      </c>
      <c r="N29" s="28" t="s">
        <v>1300</v>
      </c>
      <c r="O29" s="142" t="str">
        <f>TEXT(MID(J29,7,8),"0-00-00")</f>
        <v>1995-04-25</v>
      </c>
      <c r="P29" s="34">
        <f ca="1">(TODAY()-O29)/365</f>
        <v>31.1643835616438</v>
      </c>
      <c r="Q29" s="47">
        <f ca="1" t="shared" si="4"/>
        <v>8</v>
      </c>
      <c r="R29" s="28" t="s">
        <v>88</v>
      </c>
      <c r="S29" s="47" t="s">
        <v>89</v>
      </c>
      <c r="T29" s="58" t="s">
        <v>90</v>
      </c>
      <c r="U29" s="47" t="s">
        <v>91</v>
      </c>
      <c r="V29" s="47" t="s">
        <v>92</v>
      </c>
      <c r="W29" s="47"/>
      <c r="X29" s="47"/>
      <c r="Y29" s="37" t="s">
        <v>1301</v>
      </c>
      <c r="Z29" s="47">
        <v>2017.11</v>
      </c>
      <c r="AA29" s="47">
        <v>2018.1</v>
      </c>
      <c r="AB29" s="47" t="s">
        <v>1302</v>
      </c>
      <c r="AC29" s="47"/>
      <c r="AD29" s="47" t="s">
        <v>1303</v>
      </c>
      <c r="AE29" s="47">
        <v>15271761843</v>
      </c>
      <c r="AF29" s="153" t="s">
        <v>154</v>
      </c>
      <c r="AG29" s="37" t="s">
        <v>812</v>
      </c>
      <c r="AH29" s="157" t="s">
        <v>1304</v>
      </c>
      <c r="AI29" s="47">
        <v>2013.7</v>
      </c>
      <c r="AJ29" s="47">
        <v>2014.7</v>
      </c>
      <c r="AK29" s="47"/>
      <c r="AL29" s="47" t="s">
        <v>1086</v>
      </c>
      <c r="AM29" s="47"/>
      <c r="AN29" s="111" t="s">
        <v>99</v>
      </c>
      <c r="AO29" s="28" t="s">
        <v>1300</v>
      </c>
      <c r="AP29" s="37" t="s">
        <v>176</v>
      </c>
      <c r="AQ29" s="47" t="s">
        <v>1305</v>
      </c>
      <c r="AR29" s="47" t="s">
        <v>102</v>
      </c>
      <c r="AS29" s="47">
        <v>29</v>
      </c>
      <c r="AT29" s="47" t="s">
        <v>178</v>
      </c>
      <c r="AU29" s="47" t="s">
        <v>1305</v>
      </c>
      <c r="AV29" s="47" t="s">
        <v>104</v>
      </c>
      <c r="AW29" s="28">
        <v>13797905493</v>
      </c>
      <c r="AX29" s="176" t="s">
        <v>1790</v>
      </c>
      <c r="AY29" s="47">
        <v>4</v>
      </c>
      <c r="AZ29" s="50">
        <v>43313</v>
      </c>
      <c r="BA29" s="123">
        <v>45505</v>
      </c>
      <c r="BB29" s="47" t="s">
        <v>106</v>
      </c>
      <c r="BC29" s="47"/>
      <c r="BD29" s="47"/>
      <c r="BE29" s="123">
        <v>45520</v>
      </c>
      <c r="BF29" s="37" t="s">
        <v>1307</v>
      </c>
      <c r="BG29" s="47"/>
      <c r="BH29" s="37" t="s">
        <v>1308</v>
      </c>
      <c r="BI29" s="37"/>
      <c r="BJ29" s="37"/>
      <c r="BK29" s="47"/>
      <c r="BL29" s="275" t="s">
        <v>1309</v>
      </c>
      <c r="BM29" s="47" t="s">
        <v>109</v>
      </c>
      <c r="BN29" s="37" t="s">
        <v>110</v>
      </c>
      <c r="BO29" s="47">
        <v>2018.8</v>
      </c>
      <c r="BP29" s="58"/>
      <c r="BQ29" s="37"/>
      <c r="BR29" s="47">
        <v>2018.8</v>
      </c>
      <c r="BS29" s="47" t="s">
        <v>111</v>
      </c>
      <c r="BT29" s="47"/>
      <c r="BU29" s="208" t="s">
        <v>164</v>
      </c>
      <c r="BV29" s="47"/>
      <c r="BW29" s="47"/>
      <c r="BX29" s="50">
        <v>43313</v>
      </c>
    </row>
    <row r="30" s="103" customFormat="1" ht="24" customHeight="1" spans="1:76">
      <c r="A30" s="7">
        <v>28</v>
      </c>
      <c r="B30" s="47" t="s">
        <v>1791</v>
      </c>
      <c r="C30" s="111" t="s">
        <v>1792</v>
      </c>
      <c r="D30" s="111" t="str">
        <f t="shared" si="3"/>
        <v>男</v>
      </c>
      <c r="E30" s="47" t="s">
        <v>81</v>
      </c>
      <c r="F30" s="47" t="s">
        <v>144</v>
      </c>
      <c r="G30" s="117" t="s">
        <v>121</v>
      </c>
      <c r="H30" s="18">
        <v>45430</v>
      </c>
      <c r="I30" s="111">
        <v>18972862227</v>
      </c>
      <c r="J30" s="265" t="s">
        <v>1793</v>
      </c>
      <c r="K30" s="28" t="s">
        <v>116</v>
      </c>
      <c r="L30" s="58" t="s">
        <v>1794</v>
      </c>
      <c r="M30" s="47" t="s">
        <v>149</v>
      </c>
      <c r="N30" s="58" t="s">
        <v>1795</v>
      </c>
      <c r="O30" s="142">
        <v>36501</v>
      </c>
      <c r="P30" s="34">
        <f>2024-1999</f>
        <v>25</v>
      </c>
      <c r="Q30" s="47">
        <f ca="1" t="shared" si="4"/>
        <v>2</v>
      </c>
      <c r="R30" s="28" t="s">
        <v>88</v>
      </c>
      <c r="S30" s="47" t="s">
        <v>403</v>
      </c>
      <c r="T30" s="28" t="s">
        <v>90</v>
      </c>
      <c r="U30" s="47" t="s">
        <v>91</v>
      </c>
      <c r="V30" s="47" t="s">
        <v>92</v>
      </c>
      <c r="W30" s="47"/>
      <c r="X30" s="47"/>
      <c r="Y30" s="37" t="s">
        <v>1796</v>
      </c>
      <c r="Z30" s="47">
        <v>2023.1</v>
      </c>
      <c r="AA30" s="47">
        <v>2024.1</v>
      </c>
      <c r="AB30" s="47" t="s">
        <v>1797</v>
      </c>
      <c r="AC30" s="47"/>
      <c r="AD30" s="47"/>
      <c r="AE30" s="47"/>
      <c r="AF30" s="28" t="s">
        <v>208</v>
      </c>
      <c r="AG30" s="37" t="s">
        <v>1798</v>
      </c>
      <c r="AH30" s="28"/>
      <c r="AI30" s="47"/>
      <c r="AJ30" s="47"/>
      <c r="AK30" s="47"/>
      <c r="AL30" s="47"/>
      <c r="AM30" s="47"/>
      <c r="AN30" s="111" t="s">
        <v>194</v>
      </c>
      <c r="AO30" s="58" t="s">
        <v>1799</v>
      </c>
      <c r="AP30" s="47" t="s">
        <v>100</v>
      </c>
      <c r="AQ30" s="47" t="s">
        <v>1800</v>
      </c>
      <c r="AR30" s="47" t="s">
        <v>102</v>
      </c>
      <c r="AS30" s="47"/>
      <c r="AT30" s="47"/>
      <c r="AU30" s="47" t="s">
        <v>1800</v>
      </c>
      <c r="AV30" s="47" t="s">
        <v>393</v>
      </c>
      <c r="AW30" s="28">
        <v>15337479111</v>
      </c>
      <c r="AX30" s="175" t="s">
        <v>351</v>
      </c>
      <c r="AY30" s="47">
        <v>0</v>
      </c>
      <c r="AZ30" s="122">
        <v>45430</v>
      </c>
      <c r="BA30" s="123">
        <v>45521</v>
      </c>
      <c r="BB30" s="47" t="s">
        <v>106</v>
      </c>
      <c r="BC30" s="47"/>
      <c r="BD30" s="47"/>
      <c r="BE30" s="123">
        <v>45530</v>
      </c>
      <c r="BF30" s="37" t="s">
        <v>1801</v>
      </c>
      <c r="BG30" s="47"/>
      <c r="BH30" s="37"/>
      <c r="BI30" s="37"/>
      <c r="BJ30" s="37"/>
      <c r="BK30" s="47"/>
      <c r="BL30" s="268" t="s">
        <v>1802</v>
      </c>
      <c r="BM30" s="47"/>
      <c r="BN30" s="37"/>
      <c r="BO30" s="197"/>
      <c r="BP30" s="58"/>
      <c r="BQ30" s="37"/>
      <c r="BR30" s="197"/>
      <c r="BS30" s="47" t="s">
        <v>111</v>
      </c>
      <c r="BT30" s="47"/>
      <c r="BU30" s="206" t="s">
        <v>641</v>
      </c>
      <c r="BV30" s="47"/>
      <c r="BW30" s="47"/>
      <c r="BX30" s="207" t="s">
        <v>403</v>
      </c>
    </row>
    <row r="31" s="103" customFormat="1" ht="24" customHeight="1" spans="1:76">
      <c r="A31" s="7">
        <v>29</v>
      </c>
      <c r="B31" s="47" t="s">
        <v>1803</v>
      </c>
      <c r="C31" s="47" t="s">
        <v>1804</v>
      </c>
      <c r="D31" s="111" t="str">
        <f t="shared" si="3"/>
        <v>女</v>
      </c>
      <c r="E31" s="47" t="s">
        <v>398</v>
      </c>
      <c r="F31" s="47" t="s">
        <v>144</v>
      </c>
      <c r="G31" s="37" t="s">
        <v>399</v>
      </c>
      <c r="H31" s="123">
        <v>44713</v>
      </c>
      <c r="I31" s="111">
        <v>13597966437</v>
      </c>
      <c r="J31" s="270" t="s">
        <v>1805</v>
      </c>
      <c r="K31" s="138" t="s">
        <v>116</v>
      </c>
      <c r="L31" s="37" t="s">
        <v>1806</v>
      </c>
      <c r="M31" s="47" t="s">
        <v>149</v>
      </c>
      <c r="N31" s="37" t="s">
        <v>144</v>
      </c>
      <c r="O31" s="142" t="s">
        <v>1807</v>
      </c>
      <c r="P31" s="34">
        <v>33.7260273972603</v>
      </c>
      <c r="Q31" s="47">
        <f ca="1" t="shared" si="4"/>
        <v>4</v>
      </c>
      <c r="R31" s="28" t="s">
        <v>88</v>
      </c>
      <c r="S31" s="47" t="s">
        <v>89</v>
      </c>
      <c r="T31" s="111" t="s">
        <v>90</v>
      </c>
      <c r="U31" s="47" t="s">
        <v>91</v>
      </c>
      <c r="V31" s="47" t="s">
        <v>92</v>
      </c>
      <c r="W31" s="47"/>
      <c r="X31" s="47"/>
      <c r="Y31" s="37" t="s">
        <v>1808</v>
      </c>
      <c r="Z31" s="47">
        <v>2018.8</v>
      </c>
      <c r="AA31" s="47">
        <v>2021.9</v>
      </c>
      <c r="AB31" s="47" t="s">
        <v>1809</v>
      </c>
      <c r="AC31" s="47"/>
      <c r="AD31" s="47"/>
      <c r="AE31" s="47"/>
      <c r="AF31" s="47" t="s">
        <v>96</v>
      </c>
      <c r="AG31" s="37" t="s">
        <v>1810</v>
      </c>
      <c r="AH31" s="47"/>
      <c r="AI31" s="47">
        <v>2005.9</v>
      </c>
      <c r="AJ31" s="47">
        <v>2008.6</v>
      </c>
      <c r="AK31" s="47"/>
      <c r="AL31" s="47"/>
      <c r="AM31" s="47"/>
      <c r="AN31" s="111" t="s">
        <v>99</v>
      </c>
      <c r="AO31" s="37" t="s">
        <v>1806</v>
      </c>
      <c r="AP31" s="37" t="s">
        <v>176</v>
      </c>
      <c r="AQ31" s="47" t="s">
        <v>1811</v>
      </c>
      <c r="AR31" s="47" t="s">
        <v>102</v>
      </c>
      <c r="AS31" s="47">
        <v>34</v>
      </c>
      <c r="AT31" s="47" t="s">
        <v>445</v>
      </c>
      <c r="AU31" s="47" t="s">
        <v>1812</v>
      </c>
      <c r="AV31" s="47" t="s">
        <v>1813</v>
      </c>
      <c r="AW31" s="111">
        <v>15671831990</v>
      </c>
      <c r="AX31" s="37" t="s">
        <v>1510</v>
      </c>
      <c r="AY31" s="47">
        <v>2</v>
      </c>
      <c r="AZ31" s="123">
        <v>44805</v>
      </c>
      <c r="BA31" s="123">
        <v>45535</v>
      </c>
      <c r="BB31" s="47" t="s">
        <v>106</v>
      </c>
      <c r="BC31" s="47"/>
      <c r="BD31" s="47"/>
      <c r="BE31" s="123">
        <v>45535</v>
      </c>
      <c r="BF31" s="37" t="s">
        <v>1814</v>
      </c>
      <c r="BG31" s="47"/>
      <c r="BH31" s="37" t="s">
        <v>1815</v>
      </c>
      <c r="BI31" s="37"/>
      <c r="BJ31" s="37"/>
      <c r="BK31" s="47"/>
      <c r="BL31" s="275" t="s">
        <v>1816</v>
      </c>
      <c r="BM31" s="47" t="s">
        <v>109</v>
      </c>
      <c r="BN31" s="37" t="s">
        <v>110</v>
      </c>
      <c r="BO31" s="47">
        <v>2022.9</v>
      </c>
      <c r="BP31" s="58" t="s">
        <v>1817</v>
      </c>
      <c r="BQ31" s="37" t="s">
        <v>1818</v>
      </c>
      <c r="BR31" s="47">
        <v>2022.9</v>
      </c>
      <c r="BS31" s="47" t="s">
        <v>111</v>
      </c>
      <c r="BT31" s="47">
        <v>524</v>
      </c>
      <c r="BU31" s="208" t="s">
        <v>164</v>
      </c>
      <c r="BV31" s="47"/>
      <c r="BW31" s="47"/>
      <c r="BX31" s="123">
        <v>44805</v>
      </c>
    </row>
    <row r="32" s="101" customFormat="1" ht="24" customHeight="1" spans="1:76">
      <c r="A32" s="7">
        <v>30</v>
      </c>
      <c r="B32" s="47" t="s">
        <v>1335</v>
      </c>
      <c r="C32" s="8" t="s">
        <v>1819</v>
      </c>
      <c r="D32" s="8" t="s">
        <v>214</v>
      </c>
      <c r="E32" s="9" t="s">
        <v>1492</v>
      </c>
      <c r="F32" s="9" t="s">
        <v>144</v>
      </c>
      <c r="G32" s="17" t="s">
        <v>1493</v>
      </c>
      <c r="H32" s="24">
        <v>45505</v>
      </c>
      <c r="I32" s="132" t="s">
        <v>1820</v>
      </c>
      <c r="J32" s="271" t="s">
        <v>1821</v>
      </c>
      <c r="K32" s="134" t="s">
        <v>85</v>
      </c>
      <c r="L32" s="135" t="s">
        <v>1822</v>
      </c>
      <c r="M32" s="9" t="s">
        <v>149</v>
      </c>
      <c r="N32" s="135" t="s">
        <v>1822</v>
      </c>
      <c r="O32" s="32">
        <v>27398</v>
      </c>
      <c r="P32" s="33">
        <f>2024-1975</f>
        <v>49</v>
      </c>
      <c r="Q32" s="9">
        <f ca="1" t="shared" si="4"/>
        <v>1</v>
      </c>
      <c r="R32" s="28" t="s">
        <v>88</v>
      </c>
      <c r="S32" s="9" t="s">
        <v>403</v>
      </c>
      <c r="T32" s="8" t="s">
        <v>90</v>
      </c>
      <c r="U32" s="9" t="s">
        <v>91</v>
      </c>
      <c r="V32" s="9" t="s">
        <v>92</v>
      </c>
      <c r="W32" s="9"/>
      <c r="X32" s="9"/>
      <c r="Y32" s="37" t="s">
        <v>1823</v>
      </c>
      <c r="Z32" s="9">
        <v>2022.2</v>
      </c>
      <c r="AA32" s="9">
        <v>2022.8</v>
      </c>
      <c r="AB32" s="9" t="s">
        <v>240</v>
      </c>
      <c r="AC32" s="9"/>
      <c r="AD32" s="9"/>
      <c r="AE32" s="9"/>
      <c r="AF32" s="151" t="s">
        <v>122</v>
      </c>
      <c r="AG32" s="49"/>
      <c r="AH32" s="151"/>
      <c r="AI32" s="9"/>
      <c r="AJ32" s="9"/>
      <c r="AK32" s="9"/>
      <c r="AL32" s="9"/>
      <c r="AM32" s="45"/>
      <c r="AN32" s="162" t="s">
        <v>99</v>
      </c>
      <c r="AO32" s="135" t="s">
        <v>1822</v>
      </c>
      <c r="AP32" s="9" t="s">
        <v>176</v>
      </c>
      <c r="AQ32" s="47" t="s">
        <v>1824</v>
      </c>
      <c r="AR32" s="9" t="s">
        <v>102</v>
      </c>
      <c r="AS32" s="9"/>
      <c r="AT32" s="9" t="s">
        <v>178</v>
      </c>
      <c r="AU32" s="9" t="s">
        <v>1824</v>
      </c>
      <c r="AV32" s="9" t="s">
        <v>104</v>
      </c>
      <c r="AW32" s="173">
        <v>13774033461</v>
      </c>
      <c r="AX32" s="49" t="s">
        <v>1825</v>
      </c>
      <c r="AY32" s="9">
        <v>0</v>
      </c>
      <c r="AZ32" s="123">
        <v>45505</v>
      </c>
      <c r="BA32" s="186">
        <v>45626</v>
      </c>
      <c r="BB32" s="9" t="s">
        <v>128</v>
      </c>
      <c r="BC32" s="185" t="s">
        <v>1635</v>
      </c>
      <c r="BD32" s="53"/>
      <c r="BE32" s="123">
        <v>45535</v>
      </c>
      <c r="BF32" s="188" t="s">
        <v>1826</v>
      </c>
      <c r="BG32" s="53"/>
      <c r="BH32" s="49"/>
      <c r="BI32" s="49"/>
      <c r="BJ32" s="49"/>
      <c r="BK32" s="47"/>
      <c r="BL32" s="272" t="s">
        <v>1827</v>
      </c>
      <c r="BM32" s="9"/>
      <c r="BN32" s="9"/>
      <c r="BO32" s="9"/>
      <c r="BP32" s="58"/>
      <c r="BQ32" s="49"/>
      <c r="BR32" s="9"/>
      <c r="BS32" s="9" t="s">
        <v>253</v>
      </c>
      <c r="BT32" s="9"/>
      <c r="BU32" s="199"/>
      <c r="BV32" s="47"/>
      <c r="BW32" s="47"/>
      <c r="BX32" s="202" t="s">
        <v>403</v>
      </c>
    </row>
    <row r="33" s="103" customFormat="1" ht="24" customHeight="1" spans="1:76">
      <c r="A33" s="7">
        <v>31</v>
      </c>
      <c r="B33" s="47" t="s">
        <v>1828</v>
      </c>
      <c r="C33" s="111" t="s">
        <v>1829</v>
      </c>
      <c r="D33" s="111" t="str">
        <f t="shared" ref="D33:D48" si="5">IF(MOD(MID(J33,17,1),2)=1,"男","女")</f>
        <v>女</v>
      </c>
      <c r="E33" s="9" t="s">
        <v>1492</v>
      </c>
      <c r="F33" s="47" t="s">
        <v>144</v>
      </c>
      <c r="G33" s="117" t="s">
        <v>1493</v>
      </c>
      <c r="H33" s="18">
        <v>45533</v>
      </c>
      <c r="I33" s="111">
        <v>15115052101</v>
      </c>
      <c r="J33" s="27" t="s">
        <v>1830</v>
      </c>
      <c r="K33" s="28" t="s">
        <v>258</v>
      </c>
      <c r="L33" s="28" t="s">
        <v>1831</v>
      </c>
      <c r="M33" s="47" t="s">
        <v>149</v>
      </c>
      <c r="N33" s="37" t="s">
        <v>144</v>
      </c>
      <c r="O33" s="142">
        <v>24007</v>
      </c>
      <c r="P33" s="34">
        <f ca="1" t="shared" ref="P33:P48" si="6">YEAR(TODAY())-MID(J33,7,4)</f>
        <v>61</v>
      </c>
      <c r="Q33" s="47">
        <f ca="1" t="shared" si="4"/>
        <v>1</v>
      </c>
      <c r="R33" s="28" t="s">
        <v>88</v>
      </c>
      <c r="S33" s="47" t="s">
        <v>245</v>
      </c>
      <c r="T33" s="28" t="s">
        <v>90</v>
      </c>
      <c r="U33" s="47" t="s">
        <v>91</v>
      </c>
      <c r="V33" s="47" t="s">
        <v>92</v>
      </c>
      <c r="W33" s="47"/>
      <c r="X33" s="47"/>
      <c r="Y33" s="47"/>
      <c r="Z33" s="47"/>
      <c r="AA33" s="47"/>
      <c r="AB33" s="47"/>
      <c r="AC33" s="47"/>
      <c r="AD33" s="47"/>
      <c r="AE33" s="47"/>
      <c r="AF33" s="154"/>
      <c r="AG33" s="37"/>
      <c r="AH33" s="158"/>
      <c r="AI33" s="47"/>
      <c r="AJ33" s="47"/>
      <c r="AK33" s="47"/>
      <c r="AL33" s="47"/>
      <c r="AM33" s="47"/>
      <c r="AN33" s="111" t="s">
        <v>99</v>
      </c>
      <c r="AO33" s="28" t="s">
        <v>1831</v>
      </c>
      <c r="AP33" s="37" t="s">
        <v>176</v>
      </c>
      <c r="AQ33" s="37" t="s">
        <v>1832</v>
      </c>
      <c r="AR33" s="47" t="s">
        <v>102</v>
      </c>
      <c r="AS33" s="47"/>
      <c r="AT33" s="47"/>
      <c r="AU33" s="47" t="s">
        <v>1833</v>
      </c>
      <c r="AV33" s="47" t="s">
        <v>197</v>
      </c>
      <c r="AW33" s="28">
        <v>16616669737</v>
      </c>
      <c r="AX33" s="37" t="s">
        <v>1834</v>
      </c>
      <c r="AY33" s="47">
        <v>0</v>
      </c>
      <c r="AZ33" s="50">
        <v>45533</v>
      </c>
      <c r="BA33" s="123">
        <v>45897</v>
      </c>
      <c r="BB33" s="47"/>
      <c r="BC33" s="47"/>
      <c r="BD33" s="47"/>
      <c r="BE33" s="123">
        <v>45553</v>
      </c>
      <c r="BF33" s="37" t="s">
        <v>1835</v>
      </c>
      <c r="BG33" s="47"/>
      <c r="BH33" s="37"/>
      <c r="BI33" s="37"/>
      <c r="BJ33" s="37"/>
      <c r="BK33" s="47"/>
      <c r="BL33" s="268" t="s">
        <v>1836</v>
      </c>
      <c r="BM33" s="47"/>
      <c r="BN33" s="47"/>
      <c r="BO33" s="47"/>
      <c r="BP33" s="58"/>
      <c r="BQ33" s="37"/>
      <c r="BR33" s="47"/>
      <c r="BS33" s="47"/>
      <c r="BT33" s="47"/>
      <c r="BU33" s="206"/>
      <c r="BV33" s="47"/>
      <c r="BW33" s="47"/>
      <c r="BX33" s="200">
        <v>45533</v>
      </c>
    </row>
    <row r="34" s="103" customFormat="1" ht="24" customHeight="1" spans="1:76">
      <c r="A34" s="7">
        <v>32</v>
      </c>
      <c r="B34" s="47" t="s">
        <v>1360</v>
      </c>
      <c r="C34" s="47" t="s">
        <v>1837</v>
      </c>
      <c r="D34" s="111" t="s">
        <v>102</v>
      </c>
      <c r="E34" s="47" t="s">
        <v>1264</v>
      </c>
      <c r="F34" s="47" t="s">
        <v>144</v>
      </c>
      <c r="G34" s="47" t="s">
        <v>1838</v>
      </c>
      <c r="H34" s="123">
        <v>45509</v>
      </c>
      <c r="I34" s="47">
        <v>15271634365</v>
      </c>
      <c r="J34" s="270" t="s">
        <v>1839</v>
      </c>
      <c r="K34" s="47" t="s">
        <v>1840</v>
      </c>
      <c r="L34" s="47" t="s">
        <v>1841</v>
      </c>
      <c r="M34" s="47" t="s">
        <v>149</v>
      </c>
      <c r="N34" s="47" t="s">
        <v>1841</v>
      </c>
      <c r="O34" s="123">
        <v>37123</v>
      </c>
      <c r="P34" s="34">
        <f ca="1" t="shared" si="6"/>
        <v>25</v>
      </c>
      <c r="Q34" s="47">
        <f ca="1" t="shared" si="4"/>
        <v>1</v>
      </c>
      <c r="R34" s="47" t="s">
        <v>88</v>
      </c>
      <c r="S34" s="47" t="s">
        <v>403</v>
      </c>
      <c r="T34" s="47" t="s">
        <v>1286</v>
      </c>
      <c r="U34" s="47" t="s">
        <v>91</v>
      </c>
      <c r="V34" s="47" t="s">
        <v>92</v>
      </c>
      <c r="W34" s="47"/>
      <c r="X34" s="47"/>
      <c r="Y34" s="47" t="s">
        <v>1842</v>
      </c>
      <c r="Z34" s="47">
        <v>2024.7</v>
      </c>
      <c r="AA34" s="47">
        <v>2024.7</v>
      </c>
      <c r="AB34" s="47" t="s">
        <v>1843</v>
      </c>
      <c r="AC34" s="47"/>
      <c r="AD34" s="47" t="s">
        <v>1844</v>
      </c>
      <c r="AE34" s="47">
        <v>18855192920</v>
      </c>
      <c r="AF34" s="47" t="s">
        <v>406</v>
      </c>
      <c r="AG34" s="47" t="s">
        <v>1319</v>
      </c>
      <c r="AH34" s="47" t="s">
        <v>1288</v>
      </c>
      <c r="AI34" s="47">
        <v>2020.9</v>
      </c>
      <c r="AJ34" s="47">
        <v>2024.6</v>
      </c>
      <c r="AK34" s="47"/>
      <c r="AL34" s="47"/>
      <c r="AM34" s="47"/>
      <c r="AN34" s="47" t="s">
        <v>194</v>
      </c>
      <c r="AO34" s="47" t="s">
        <v>1841</v>
      </c>
      <c r="AP34" s="47" t="s">
        <v>815</v>
      </c>
      <c r="AQ34" s="47" t="s">
        <v>1845</v>
      </c>
      <c r="AR34" s="47" t="s">
        <v>214</v>
      </c>
      <c r="AS34" s="47">
        <v>45</v>
      </c>
      <c r="AT34" s="47" t="s">
        <v>1846</v>
      </c>
      <c r="AU34" s="47" t="s">
        <v>1845</v>
      </c>
      <c r="AV34" s="47" t="s">
        <v>197</v>
      </c>
      <c r="AW34" s="47">
        <v>15271548321</v>
      </c>
      <c r="AX34" s="37" t="s">
        <v>1847</v>
      </c>
      <c r="AY34" s="47">
        <v>0</v>
      </c>
      <c r="AZ34" s="123">
        <v>45509</v>
      </c>
      <c r="BA34" s="123">
        <v>45600</v>
      </c>
      <c r="BB34" s="47" t="s">
        <v>1322</v>
      </c>
      <c r="BC34" s="47"/>
      <c r="BD34" s="47"/>
      <c r="BE34" s="123">
        <v>45555</v>
      </c>
      <c r="BF34" s="37" t="s">
        <v>1848</v>
      </c>
      <c r="BG34" s="47"/>
      <c r="BH34" s="37" t="s">
        <v>1849</v>
      </c>
      <c r="BI34" s="47"/>
      <c r="BJ34" s="47"/>
      <c r="BK34" s="47"/>
      <c r="BL34" s="269" t="s">
        <v>1850</v>
      </c>
      <c r="BM34" s="47"/>
      <c r="BN34" s="47"/>
      <c r="BO34" s="47"/>
      <c r="BP34" s="47"/>
      <c r="BQ34" s="47"/>
      <c r="BR34" s="47"/>
      <c r="BS34" s="47" t="s">
        <v>111</v>
      </c>
      <c r="BT34" s="47"/>
      <c r="BU34" s="208" t="s">
        <v>1851</v>
      </c>
      <c r="BV34" s="47"/>
      <c r="BW34" s="47"/>
      <c r="BX34" s="47" t="s">
        <v>403</v>
      </c>
    </row>
    <row r="35" s="103" customFormat="1" ht="24" customHeight="1" spans="1:76">
      <c r="A35" s="7">
        <v>33</v>
      </c>
      <c r="B35" s="47" t="s">
        <v>1852</v>
      </c>
      <c r="C35" s="111" t="s">
        <v>1853</v>
      </c>
      <c r="D35" s="111" t="str">
        <f t="shared" si="5"/>
        <v>男</v>
      </c>
      <c r="E35" s="47" t="s">
        <v>81</v>
      </c>
      <c r="F35" s="47" t="s">
        <v>144</v>
      </c>
      <c r="G35" s="124" t="s">
        <v>1045</v>
      </c>
      <c r="H35" s="18">
        <v>43353</v>
      </c>
      <c r="I35" s="111">
        <v>15971950140</v>
      </c>
      <c r="J35" s="27" t="s">
        <v>1854</v>
      </c>
      <c r="K35" s="28" t="s">
        <v>85</v>
      </c>
      <c r="L35" s="28" t="s">
        <v>1855</v>
      </c>
      <c r="M35" s="47" t="s">
        <v>149</v>
      </c>
      <c r="N35" s="28" t="s">
        <v>1609</v>
      </c>
      <c r="O35" s="142" t="s">
        <v>1856</v>
      </c>
      <c r="P35" s="34">
        <f ca="1" t="shared" si="6"/>
        <v>54</v>
      </c>
      <c r="Q35" s="47">
        <f ca="1" t="shared" si="4"/>
        <v>7</v>
      </c>
      <c r="R35" s="28" t="s">
        <v>88</v>
      </c>
      <c r="S35" s="47" t="s">
        <v>89</v>
      </c>
      <c r="T35" s="28" t="s">
        <v>90</v>
      </c>
      <c r="U35" s="47" t="s">
        <v>91</v>
      </c>
      <c r="V35" s="47" t="s">
        <v>92</v>
      </c>
      <c r="W35" s="47"/>
      <c r="X35" s="47"/>
      <c r="Y35" s="47" t="s">
        <v>1857</v>
      </c>
      <c r="Z35" s="47">
        <v>2015.1</v>
      </c>
      <c r="AA35" s="47">
        <v>2018.8</v>
      </c>
      <c r="AB35" s="47" t="s">
        <v>683</v>
      </c>
      <c r="AC35" s="47"/>
      <c r="AD35" s="47"/>
      <c r="AE35" s="47"/>
      <c r="AF35" s="111" t="s">
        <v>122</v>
      </c>
      <c r="AG35" s="37" t="s">
        <v>423</v>
      </c>
      <c r="AH35" s="28"/>
      <c r="AI35" s="47">
        <v>1986.8</v>
      </c>
      <c r="AJ35" s="47">
        <v>1989.9</v>
      </c>
      <c r="AK35" s="47"/>
      <c r="AL35" s="47"/>
      <c r="AM35" s="47"/>
      <c r="AN35" s="111" t="s">
        <v>99</v>
      </c>
      <c r="AO35" s="28" t="s">
        <v>1609</v>
      </c>
      <c r="AP35" s="37" t="s">
        <v>212</v>
      </c>
      <c r="AQ35" s="47" t="s">
        <v>1858</v>
      </c>
      <c r="AR35" s="47" t="s">
        <v>214</v>
      </c>
      <c r="AS35" s="47">
        <v>50</v>
      </c>
      <c r="AT35" s="47" t="s">
        <v>1859</v>
      </c>
      <c r="AU35" s="47" t="s">
        <v>1858</v>
      </c>
      <c r="AV35" s="47" t="s">
        <v>104</v>
      </c>
      <c r="AW35" s="28">
        <v>13872942592</v>
      </c>
      <c r="AX35" s="37" t="s">
        <v>1860</v>
      </c>
      <c r="AY35" s="47">
        <v>4</v>
      </c>
      <c r="AZ35" s="50">
        <v>43443</v>
      </c>
      <c r="BA35" s="123">
        <v>45657</v>
      </c>
      <c r="BB35" s="47" t="s">
        <v>106</v>
      </c>
      <c r="BC35" s="47"/>
      <c r="BD35" s="47"/>
      <c r="BE35" s="123">
        <v>45561</v>
      </c>
      <c r="BF35" s="37" t="s">
        <v>1861</v>
      </c>
      <c r="BG35" s="47"/>
      <c r="BH35" s="37" t="s">
        <v>1862</v>
      </c>
      <c r="BI35" s="37"/>
      <c r="BJ35" s="37"/>
      <c r="BK35" s="47"/>
      <c r="BL35" s="268" t="s">
        <v>1863</v>
      </c>
      <c r="BM35" s="47" t="s">
        <v>109</v>
      </c>
      <c r="BN35" s="37" t="s">
        <v>110</v>
      </c>
      <c r="BO35" s="47">
        <v>2019.1</v>
      </c>
      <c r="BP35" s="58" t="s">
        <v>1864</v>
      </c>
      <c r="BQ35" s="269" t="s">
        <v>1865</v>
      </c>
      <c r="BR35" s="47">
        <v>2019.1</v>
      </c>
      <c r="BS35" s="47" t="s">
        <v>111</v>
      </c>
      <c r="BT35" s="47"/>
      <c r="BU35" s="206" t="s">
        <v>164</v>
      </c>
      <c r="BV35" s="47"/>
      <c r="BW35" s="47"/>
      <c r="BX35" s="200">
        <v>43443</v>
      </c>
    </row>
    <row r="36" s="103" customFormat="1" ht="24" customHeight="1" spans="1:76">
      <c r="A36" s="7">
        <v>34</v>
      </c>
      <c r="B36" s="47" t="s">
        <v>1866</v>
      </c>
      <c r="C36" s="47" t="s">
        <v>1867</v>
      </c>
      <c r="D36" s="111" t="str">
        <f t="shared" si="5"/>
        <v>男</v>
      </c>
      <c r="E36" s="47" t="s">
        <v>356</v>
      </c>
      <c r="F36" s="47" t="s">
        <v>144</v>
      </c>
      <c r="G36" s="37" t="s">
        <v>1868</v>
      </c>
      <c r="H36" s="123">
        <v>45369</v>
      </c>
      <c r="I36" s="47">
        <v>18229403307</v>
      </c>
      <c r="J36" s="47" t="s">
        <v>1869</v>
      </c>
      <c r="K36" s="28" t="s">
        <v>258</v>
      </c>
      <c r="L36" s="37" t="s">
        <v>1870</v>
      </c>
      <c r="M36" s="47" t="s">
        <v>149</v>
      </c>
      <c r="N36" s="37" t="s">
        <v>1870</v>
      </c>
      <c r="O36" s="142">
        <v>36411</v>
      </c>
      <c r="P36" s="34">
        <f ca="1" t="shared" si="6"/>
        <v>27</v>
      </c>
      <c r="Q36" s="47">
        <f ca="1" t="shared" si="4"/>
        <v>2</v>
      </c>
      <c r="R36" s="28" t="s">
        <v>88</v>
      </c>
      <c r="S36" s="47" t="s">
        <v>89</v>
      </c>
      <c r="T36" s="111" t="s">
        <v>90</v>
      </c>
      <c r="U36" s="47" t="s">
        <v>91</v>
      </c>
      <c r="V36" s="47" t="s">
        <v>92</v>
      </c>
      <c r="W36" s="47"/>
      <c r="X36" s="47"/>
      <c r="Y36" s="37" t="s">
        <v>1871</v>
      </c>
      <c r="Z36" s="47">
        <v>2022.6</v>
      </c>
      <c r="AA36" s="47">
        <v>2024.3</v>
      </c>
      <c r="AB36" s="47" t="s">
        <v>1872</v>
      </c>
      <c r="AC36" s="47"/>
      <c r="AD36" s="47" t="s">
        <v>1873</v>
      </c>
      <c r="AE36" s="47">
        <v>13786637301</v>
      </c>
      <c r="AF36" s="47" t="s">
        <v>154</v>
      </c>
      <c r="AG36" s="37" t="s">
        <v>1874</v>
      </c>
      <c r="AH36" s="37" t="s">
        <v>739</v>
      </c>
      <c r="AI36" s="47">
        <v>2018.9</v>
      </c>
      <c r="AJ36" s="47">
        <v>2021.6</v>
      </c>
      <c r="AK36" s="47"/>
      <c r="AL36" s="47"/>
      <c r="AM36" s="47"/>
      <c r="AN36" s="111" t="s">
        <v>194</v>
      </c>
      <c r="AO36" s="37" t="s">
        <v>1870</v>
      </c>
      <c r="AP36" s="37" t="s">
        <v>815</v>
      </c>
      <c r="AQ36" s="47" t="s">
        <v>1875</v>
      </c>
      <c r="AR36" s="47" t="s">
        <v>214</v>
      </c>
      <c r="AS36" s="47">
        <v>47</v>
      </c>
      <c r="AT36" s="47" t="s">
        <v>538</v>
      </c>
      <c r="AU36" s="47" t="s">
        <v>1876</v>
      </c>
      <c r="AV36" s="47" t="s">
        <v>393</v>
      </c>
      <c r="AW36" s="270" t="s">
        <v>1877</v>
      </c>
      <c r="AX36" s="37" t="s">
        <v>216</v>
      </c>
      <c r="AY36" s="47">
        <v>0</v>
      </c>
      <c r="AZ36" s="123">
        <v>45369</v>
      </c>
      <c r="BA36" s="123">
        <v>45490</v>
      </c>
      <c r="BB36" s="47" t="s">
        <v>106</v>
      </c>
      <c r="BC36" s="47"/>
      <c r="BD36" s="47"/>
      <c r="BE36" s="123">
        <v>45565</v>
      </c>
      <c r="BF36" s="37" t="s">
        <v>1878</v>
      </c>
      <c r="BG36" s="47"/>
      <c r="BH36" s="37"/>
      <c r="BI36" s="37"/>
      <c r="BJ36" s="37"/>
      <c r="BK36" s="47"/>
      <c r="BL36" s="273" t="s">
        <v>1879</v>
      </c>
      <c r="BM36" s="47"/>
      <c r="BN36" s="37"/>
      <c r="BO36" s="47"/>
      <c r="BP36" s="58"/>
      <c r="BQ36" s="37"/>
      <c r="BR36" s="47"/>
      <c r="BS36" s="47" t="s">
        <v>111</v>
      </c>
      <c r="BT36" s="47"/>
      <c r="BU36" s="206" t="s">
        <v>632</v>
      </c>
      <c r="BV36" s="47"/>
      <c r="BW36" s="47"/>
      <c r="BX36" s="180">
        <v>45505</v>
      </c>
    </row>
    <row r="37" s="103" customFormat="1" ht="24" customHeight="1" spans="1:76">
      <c r="A37" s="7">
        <v>35</v>
      </c>
      <c r="B37" s="47" t="s">
        <v>1880</v>
      </c>
      <c r="C37" s="113" t="s">
        <v>1031</v>
      </c>
      <c r="D37" s="111" t="str">
        <f t="shared" si="5"/>
        <v>女</v>
      </c>
      <c r="E37" s="47" t="s">
        <v>278</v>
      </c>
      <c r="F37" s="47" t="s">
        <v>144</v>
      </c>
      <c r="G37" s="116" t="s">
        <v>1881</v>
      </c>
      <c r="H37" s="18">
        <v>42278</v>
      </c>
      <c r="I37" s="130">
        <v>18696027762</v>
      </c>
      <c r="J37" s="27" t="s">
        <v>1882</v>
      </c>
      <c r="K37" s="28" t="s">
        <v>258</v>
      </c>
      <c r="L37" s="28" t="s">
        <v>1883</v>
      </c>
      <c r="M37" s="47" t="s">
        <v>87</v>
      </c>
      <c r="N37" s="37" t="s">
        <v>144</v>
      </c>
      <c r="O37" s="142" t="s">
        <v>1884</v>
      </c>
      <c r="P37" s="34">
        <f ca="1" t="shared" si="6"/>
        <v>36</v>
      </c>
      <c r="Q37" s="47">
        <f ca="1" t="shared" si="4"/>
        <v>10</v>
      </c>
      <c r="R37" s="28" t="s">
        <v>88</v>
      </c>
      <c r="S37" s="47" t="s">
        <v>89</v>
      </c>
      <c r="T37" s="58" t="s">
        <v>150</v>
      </c>
      <c r="U37" s="47" t="s">
        <v>91</v>
      </c>
      <c r="V37" s="47" t="s">
        <v>92</v>
      </c>
      <c r="W37" s="47"/>
      <c r="X37" s="47"/>
      <c r="Y37" s="37" t="s">
        <v>1885</v>
      </c>
      <c r="Z37" s="47">
        <v>2012.9</v>
      </c>
      <c r="AA37" s="47">
        <v>2015.6</v>
      </c>
      <c r="AB37" s="47" t="s">
        <v>215</v>
      </c>
      <c r="AC37" s="47"/>
      <c r="AD37" s="47" t="s">
        <v>1886</v>
      </c>
      <c r="AE37" s="47">
        <v>18273030802</v>
      </c>
      <c r="AF37" s="28" t="s">
        <v>406</v>
      </c>
      <c r="AG37" s="37" t="s">
        <v>1887</v>
      </c>
      <c r="AH37" s="28" t="s">
        <v>1888</v>
      </c>
      <c r="AI37" s="47">
        <v>2008.9</v>
      </c>
      <c r="AJ37" s="47">
        <v>2012.6</v>
      </c>
      <c r="AK37" s="47"/>
      <c r="AL37" s="47"/>
      <c r="AM37" s="47"/>
      <c r="AN37" s="111" t="s">
        <v>99</v>
      </c>
      <c r="AO37" s="37" t="s">
        <v>1883</v>
      </c>
      <c r="AP37" s="37" t="s">
        <v>815</v>
      </c>
      <c r="AQ37" s="47" t="s">
        <v>1889</v>
      </c>
      <c r="AR37" s="47" t="s">
        <v>214</v>
      </c>
      <c r="AS37" s="47">
        <v>63</v>
      </c>
      <c r="AT37" s="47" t="s">
        <v>159</v>
      </c>
      <c r="AU37" s="47" t="s">
        <v>1890</v>
      </c>
      <c r="AV37" s="47" t="s">
        <v>347</v>
      </c>
      <c r="AW37" s="58">
        <v>13397506692</v>
      </c>
      <c r="AX37" s="37" t="s">
        <v>161</v>
      </c>
      <c r="AY37" s="47">
        <v>5</v>
      </c>
      <c r="AZ37" s="50">
        <v>42370</v>
      </c>
      <c r="BA37" s="123">
        <v>45961</v>
      </c>
      <c r="BB37" s="47" t="s">
        <v>106</v>
      </c>
      <c r="BC37" s="47"/>
      <c r="BD37" s="47"/>
      <c r="BE37" s="123">
        <v>45565</v>
      </c>
      <c r="BF37" s="37" t="s">
        <v>1891</v>
      </c>
      <c r="BG37" s="47"/>
      <c r="BH37" s="37" t="s">
        <v>1892</v>
      </c>
      <c r="BI37" s="37"/>
      <c r="BJ37" s="37"/>
      <c r="BK37" s="47"/>
      <c r="BL37" s="268" t="s">
        <v>1893</v>
      </c>
      <c r="BM37" s="47" t="s">
        <v>109</v>
      </c>
      <c r="BN37" s="37" t="s">
        <v>110</v>
      </c>
      <c r="BO37" s="47">
        <v>2015.12</v>
      </c>
      <c r="BP37" s="58"/>
      <c r="BQ37" s="37"/>
      <c r="BR37" s="47">
        <v>2016.7</v>
      </c>
      <c r="BS37" s="47" t="s">
        <v>111</v>
      </c>
      <c r="BT37" s="47">
        <v>515</v>
      </c>
      <c r="BU37" s="206" t="s">
        <v>775</v>
      </c>
      <c r="BV37" s="47"/>
      <c r="BW37" s="47"/>
      <c r="BX37" s="200">
        <v>42370</v>
      </c>
    </row>
    <row r="38" s="103" customFormat="1" ht="24" customHeight="1" spans="1:76">
      <c r="A38" s="7">
        <v>36</v>
      </c>
      <c r="B38" s="47" t="s">
        <v>1894</v>
      </c>
      <c r="C38" s="47" t="s">
        <v>1895</v>
      </c>
      <c r="D38" s="111" t="str">
        <f t="shared" si="5"/>
        <v>男</v>
      </c>
      <c r="E38" s="47" t="s">
        <v>1313</v>
      </c>
      <c r="F38" s="47" t="s">
        <v>144</v>
      </c>
      <c r="G38" s="47" t="s">
        <v>1314</v>
      </c>
      <c r="H38" s="123">
        <v>45488</v>
      </c>
      <c r="I38" s="47">
        <v>17762749603</v>
      </c>
      <c r="J38" s="47" t="s">
        <v>1896</v>
      </c>
      <c r="K38" s="47" t="s">
        <v>1316</v>
      </c>
      <c r="L38" s="37" t="s">
        <v>1897</v>
      </c>
      <c r="M38" s="47" t="s">
        <v>282</v>
      </c>
      <c r="N38" s="47" t="s">
        <v>1898</v>
      </c>
      <c r="O38" s="123">
        <v>37365</v>
      </c>
      <c r="P38" s="34">
        <f ca="1" t="shared" si="6"/>
        <v>24</v>
      </c>
      <c r="Q38" s="47">
        <f ca="1" t="shared" si="4"/>
        <v>1</v>
      </c>
      <c r="R38" s="47" t="s">
        <v>88</v>
      </c>
      <c r="S38" s="47" t="s">
        <v>1661</v>
      </c>
      <c r="T38" s="47" t="s">
        <v>1286</v>
      </c>
      <c r="U38" s="47" t="s">
        <v>91</v>
      </c>
      <c r="V38" s="47" t="s">
        <v>92</v>
      </c>
      <c r="W38" s="47"/>
      <c r="X38" s="47"/>
      <c r="Y38" s="47"/>
      <c r="Z38" s="47"/>
      <c r="AA38" s="47"/>
      <c r="AB38" s="47"/>
      <c r="AC38" s="47"/>
      <c r="AD38" s="47"/>
      <c r="AE38" s="47"/>
      <c r="AF38" s="47" t="s">
        <v>406</v>
      </c>
      <c r="AG38" s="47" t="s">
        <v>1287</v>
      </c>
      <c r="AH38" s="47" t="s">
        <v>1288</v>
      </c>
      <c r="AI38" s="47">
        <v>2020.9</v>
      </c>
      <c r="AJ38" s="47">
        <v>2024.12</v>
      </c>
      <c r="AK38" s="47"/>
      <c r="AL38" s="47"/>
      <c r="AM38" s="47"/>
      <c r="AN38" s="47" t="s">
        <v>194</v>
      </c>
      <c r="AO38" s="47" t="s">
        <v>1898</v>
      </c>
      <c r="AP38" s="47" t="s">
        <v>815</v>
      </c>
      <c r="AQ38" s="47" t="s">
        <v>1899</v>
      </c>
      <c r="AR38" s="47" t="s">
        <v>214</v>
      </c>
      <c r="AS38" s="47">
        <v>45</v>
      </c>
      <c r="AT38" s="47"/>
      <c r="AU38" s="47" t="s">
        <v>1899</v>
      </c>
      <c r="AV38" s="47" t="s">
        <v>197</v>
      </c>
      <c r="AW38" s="47">
        <v>17762745902</v>
      </c>
      <c r="AX38" s="37" t="s">
        <v>1900</v>
      </c>
      <c r="AY38" s="47">
        <v>0</v>
      </c>
      <c r="AZ38" s="123">
        <v>45488</v>
      </c>
      <c r="BA38" s="123">
        <v>45640</v>
      </c>
      <c r="BB38" s="47" t="s">
        <v>1322</v>
      </c>
      <c r="BC38" s="47"/>
      <c r="BD38" s="47"/>
      <c r="BE38" s="123">
        <v>45614</v>
      </c>
      <c r="BF38" s="37" t="s">
        <v>1901</v>
      </c>
      <c r="BG38" s="47"/>
      <c r="BH38" s="37" t="s">
        <v>1902</v>
      </c>
      <c r="BI38" s="47"/>
      <c r="BJ38" s="47"/>
      <c r="BK38" s="47"/>
      <c r="BL38" s="269" t="s">
        <v>1903</v>
      </c>
      <c r="BM38" s="47"/>
      <c r="BN38" s="47"/>
      <c r="BO38" s="47"/>
      <c r="BP38" s="47"/>
      <c r="BQ38" s="47"/>
      <c r="BR38" s="47"/>
      <c r="BS38" s="47" t="s">
        <v>111</v>
      </c>
      <c r="BT38" s="47"/>
      <c r="BU38" s="208" t="s">
        <v>1295</v>
      </c>
      <c r="BV38" s="47"/>
      <c r="BW38" s="47"/>
      <c r="BX38" s="47" t="s">
        <v>1661</v>
      </c>
    </row>
    <row r="39" s="103" customFormat="1" ht="24" customHeight="1" spans="1:76">
      <c r="A39" s="7">
        <v>37</v>
      </c>
      <c r="B39" s="47" t="s">
        <v>1904</v>
      </c>
      <c r="C39" s="111" t="s">
        <v>1905</v>
      </c>
      <c r="D39" s="111" t="str">
        <f t="shared" si="5"/>
        <v>女</v>
      </c>
      <c r="E39" s="47" t="s">
        <v>81</v>
      </c>
      <c r="F39" s="47" t="s">
        <v>144</v>
      </c>
      <c r="G39" s="117" t="s">
        <v>121</v>
      </c>
      <c r="H39" s="122">
        <v>45617</v>
      </c>
      <c r="I39" s="111">
        <v>18727660965</v>
      </c>
      <c r="J39" s="265" t="s">
        <v>1906</v>
      </c>
      <c r="K39" s="111" t="s">
        <v>116</v>
      </c>
      <c r="L39" s="58" t="s">
        <v>1907</v>
      </c>
      <c r="M39" s="47" t="s">
        <v>149</v>
      </c>
      <c r="N39" s="37" t="s">
        <v>1908</v>
      </c>
      <c r="O39" s="142">
        <v>29228</v>
      </c>
      <c r="P39" s="34">
        <f ca="1" t="shared" si="6"/>
        <v>46</v>
      </c>
      <c r="Q39" s="47">
        <v>0</v>
      </c>
      <c r="R39" s="28" t="s">
        <v>88</v>
      </c>
      <c r="S39" s="47" t="s">
        <v>403</v>
      </c>
      <c r="T39" s="28" t="s">
        <v>90</v>
      </c>
      <c r="U39" s="47" t="s">
        <v>91</v>
      </c>
      <c r="V39" s="47" t="s">
        <v>92</v>
      </c>
      <c r="W39" s="47"/>
      <c r="X39" s="47"/>
      <c r="Y39" s="37" t="s">
        <v>1909</v>
      </c>
      <c r="Z39" s="47">
        <v>2020.5</v>
      </c>
      <c r="AA39" s="47">
        <v>2024.1</v>
      </c>
      <c r="AB39" s="47" t="s">
        <v>1910</v>
      </c>
      <c r="AC39" s="47"/>
      <c r="AD39" s="47"/>
      <c r="AE39" s="47"/>
      <c r="AF39" s="111" t="s">
        <v>96</v>
      </c>
      <c r="AG39" s="37"/>
      <c r="AH39" s="111"/>
      <c r="AI39" s="47"/>
      <c r="AJ39" s="47"/>
      <c r="AK39" s="47"/>
      <c r="AL39" s="47"/>
      <c r="AM39" s="47"/>
      <c r="AN39" s="111" t="s">
        <v>99</v>
      </c>
      <c r="AO39" s="37" t="s">
        <v>1908</v>
      </c>
      <c r="AP39" s="37" t="s">
        <v>176</v>
      </c>
      <c r="AQ39" s="47" t="s">
        <v>1911</v>
      </c>
      <c r="AR39" s="47" t="s">
        <v>102</v>
      </c>
      <c r="AS39" s="47">
        <v>45</v>
      </c>
      <c r="AT39" s="47" t="s">
        <v>178</v>
      </c>
      <c r="AU39" s="47" t="s">
        <v>1911</v>
      </c>
      <c r="AV39" s="47" t="s">
        <v>104</v>
      </c>
      <c r="AW39" s="111">
        <v>16671023601</v>
      </c>
      <c r="AX39" s="37" t="s">
        <v>1912</v>
      </c>
      <c r="AY39" s="47">
        <v>0</v>
      </c>
      <c r="AZ39" s="122">
        <v>45617</v>
      </c>
      <c r="BA39" s="123">
        <v>45708</v>
      </c>
      <c r="BB39" s="47" t="s">
        <v>128</v>
      </c>
      <c r="BC39" s="47" t="s">
        <v>1144</v>
      </c>
      <c r="BD39" s="47"/>
      <c r="BE39" s="123">
        <v>45623</v>
      </c>
      <c r="BF39" s="37" t="s">
        <v>1913</v>
      </c>
      <c r="BG39" s="47"/>
      <c r="BH39" s="37"/>
      <c r="BI39" s="37"/>
      <c r="BJ39" s="37"/>
      <c r="BK39" s="47"/>
      <c r="BL39" s="268" t="s">
        <v>1914</v>
      </c>
      <c r="BM39" s="47"/>
      <c r="BN39" s="37"/>
      <c r="BO39" s="47"/>
      <c r="BP39" s="58"/>
      <c r="BQ39" s="37"/>
      <c r="BR39" s="47"/>
      <c r="BS39" s="47" t="s">
        <v>111</v>
      </c>
      <c r="BT39" s="47"/>
      <c r="BU39" s="206" t="s">
        <v>775</v>
      </c>
      <c r="BV39" s="47"/>
      <c r="BW39" s="47"/>
      <c r="BX39" s="207" t="s">
        <v>403</v>
      </c>
    </row>
    <row r="40" s="103" customFormat="1" ht="24" customHeight="1" spans="1:76">
      <c r="A40" s="7">
        <v>38</v>
      </c>
      <c r="B40" s="111" t="s">
        <v>1915</v>
      </c>
      <c r="C40" s="58" t="s">
        <v>1916</v>
      </c>
      <c r="D40" s="111" t="str">
        <f t="shared" si="5"/>
        <v>男</v>
      </c>
      <c r="E40" s="47" t="s">
        <v>1917</v>
      </c>
      <c r="F40" s="47" t="s">
        <v>144</v>
      </c>
      <c r="G40" s="116" t="s">
        <v>1918</v>
      </c>
      <c r="H40" s="18">
        <v>42614</v>
      </c>
      <c r="I40" s="130">
        <v>18618195799</v>
      </c>
      <c r="J40" s="27" t="s">
        <v>1919</v>
      </c>
      <c r="K40" s="28" t="s">
        <v>1920</v>
      </c>
      <c r="L40" s="28" t="s">
        <v>1921</v>
      </c>
      <c r="M40" s="47" t="s">
        <v>282</v>
      </c>
      <c r="N40" s="28" t="s">
        <v>1921</v>
      </c>
      <c r="O40" s="142">
        <v>29235</v>
      </c>
      <c r="P40" s="34">
        <f ca="1" t="shared" si="6"/>
        <v>46</v>
      </c>
      <c r="Q40" s="47">
        <f ca="1" t="shared" ref="Q40:Q44" si="7">IF(H40="","",DATEDIF(H40,TODAY(),"Y"))</f>
        <v>9</v>
      </c>
      <c r="R40" s="28" t="s">
        <v>88</v>
      </c>
      <c r="S40" s="47" t="s">
        <v>89</v>
      </c>
      <c r="T40" s="58" t="s">
        <v>150</v>
      </c>
      <c r="U40" s="47" t="s">
        <v>91</v>
      </c>
      <c r="V40" s="47" t="s">
        <v>92</v>
      </c>
      <c r="W40" s="47" t="s">
        <v>1918</v>
      </c>
      <c r="X40" s="47"/>
      <c r="Y40" s="37"/>
      <c r="Z40" s="47"/>
      <c r="AA40" s="47"/>
      <c r="AB40" s="47"/>
      <c r="AC40" s="47"/>
      <c r="AD40" s="47"/>
      <c r="AE40" s="47"/>
      <c r="AF40" s="28" t="s">
        <v>1922</v>
      </c>
      <c r="AG40" s="37" t="s">
        <v>1923</v>
      </c>
      <c r="AH40" s="28" t="s">
        <v>1924</v>
      </c>
      <c r="AI40" s="47"/>
      <c r="AJ40" s="47">
        <v>2004.6</v>
      </c>
      <c r="AK40" s="47"/>
      <c r="AL40" s="37" t="s">
        <v>1925</v>
      </c>
      <c r="AM40" s="47"/>
      <c r="AN40" s="111" t="s">
        <v>99</v>
      </c>
      <c r="AO40" s="28" t="s">
        <v>1921</v>
      </c>
      <c r="AP40" s="37"/>
      <c r="AQ40" s="37"/>
      <c r="AR40" s="47"/>
      <c r="AS40" s="47"/>
      <c r="AT40" s="47"/>
      <c r="AU40" s="47"/>
      <c r="AV40" s="47"/>
      <c r="AW40" s="28"/>
      <c r="AX40" s="175"/>
      <c r="AY40" s="47"/>
      <c r="AZ40" s="177">
        <v>42614</v>
      </c>
      <c r="BA40" s="123"/>
      <c r="BB40" s="47"/>
      <c r="BC40" s="47"/>
      <c r="BD40" s="47"/>
      <c r="BE40" s="123">
        <v>45626</v>
      </c>
      <c r="BF40" s="37" t="s">
        <v>1926</v>
      </c>
      <c r="BG40" s="47"/>
      <c r="BH40" s="37"/>
      <c r="BI40" s="37"/>
      <c r="BJ40" s="37"/>
      <c r="BK40" s="47"/>
      <c r="BL40" s="85"/>
      <c r="BM40" s="47"/>
      <c r="BN40" s="37"/>
      <c r="BO40" s="47"/>
      <c r="BP40" s="27"/>
      <c r="BQ40" s="37"/>
      <c r="BR40" s="47"/>
      <c r="BS40" s="47"/>
      <c r="BT40" s="47"/>
      <c r="BU40" s="206"/>
      <c r="BV40" s="47"/>
      <c r="BW40" s="47"/>
      <c r="BX40" s="209"/>
    </row>
    <row r="41" s="103" customFormat="1" ht="24" customHeight="1" spans="1:76">
      <c r="A41" s="7">
        <v>39</v>
      </c>
      <c r="B41" s="111" t="s">
        <v>1927</v>
      </c>
      <c r="C41" s="58" t="s">
        <v>1928</v>
      </c>
      <c r="D41" s="111" t="str">
        <f t="shared" si="5"/>
        <v>男</v>
      </c>
      <c r="E41" s="47" t="s">
        <v>1917</v>
      </c>
      <c r="F41" s="47" t="s">
        <v>144</v>
      </c>
      <c r="G41" s="116" t="s">
        <v>1929</v>
      </c>
      <c r="H41" s="18">
        <v>45107</v>
      </c>
      <c r="I41" s="130">
        <v>13397119828</v>
      </c>
      <c r="J41" s="27" t="s">
        <v>1930</v>
      </c>
      <c r="K41" s="28" t="s">
        <v>85</v>
      </c>
      <c r="L41" s="28" t="s">
        <v>1931</v>
      </c>
      <c r="M41" s="47" t="s">
        <v>282</v>
      </c>
      <c r="N41" s="28" t="s">
        <v>1932</v>
      </c>
      <c r="O41" s="142">
        <v>25692</v>
      </c>
      <c r="P41" s="34">
        <f ca="1" t="shared" si="6"/>
        <v>56</v>
      </c>
      <c r="Q41" s="47">
        <f ca="1" t="shared" si="7"/>
        <v>2</v>
      </c>
      <c r="R41" s="28" t="s">
        <v>88</v>
      </c>
      <c r="S41" s="47" t="s">
        <v>89</v>
      </c>
      <c r="T41" s="58" t="s">
        <v>90</v>
      </c>
      <c r="U41" s="47" t="s">
        <v>91</v>
      </c>
      <c r="V41" s="47" t="s">
        <v>92</v>
      </c>
      <c r="W41" s="47" t="s">
        <v>1933</v>
      </c>
      <c r="X41" s="47"/>
      <c r="Y41" s="37" t="s">
        <v>1934</v>
      </c>
      <c r="Z41" s="47">
        <v>2020</v>
      </c>
      <c r="AA41" s="47">
        <v>2023</v>
      </c>
      <c r="AB41" s="47" t="s">
        <v>1935</v>
      </c>
      <c r="AC41" s="47"/>
      <c r="AD41" s="47" t="s">
        <v>1936</v>
      </c>
      <c r="AE41" s="47"/>
      <c r="AF41" s="28" t="s">
        <v>1922</v>
      </c>
      <c r="AG41" s="37" t="s">
        <v>1937</v>
      </c>
      <c r="AH41" s="28" t="s">
        <v>813</v>
      </c>
      <c r="AI41" s="47">
        <v>2001.9</v>
      </c>
      <c r="AJ41" s="47">
        <v>2003.6</v>
      </c>
      <c r="AK41" s="47"/>
      <c r="AL41" s="37" t="s">
        <v>1938</v>
      </c>
      <c r="AM41" s="47"/>
      <c r="AN41" s="111" t="s">
        <v>99</v>
      </c>
      <c r="AO41" s="28" t="s">
        <v>1932</v>
      </c>
      <c r="AP41" s="37" t="s">
        <v>212</v>
      </c>
      <c r="AQ41" s="37" t="s">
        <v>1939</v>
      </c>
      <c r="AR41" s="47" t="s">
        <v>214</v>
      </c>
      <c r="AS41" s="47"/>
      <c r="AT41" s="47"/>
      <c r="AU41" s="37" t="s">
        <v>1939</v>
      </c>
      <c r="AV41" s="47" t="s">
        <v>104</v>
      </c>
      <c r="AW41" s="28">
        <v>18971045599</v>
      </c>
      <c r="AX41" s="175"/>
      <c r="AY41" s="47"/>
      <c r="AZ41" s="177"/>
      <c r="BA41" s="123"/>
      <c r="BB41" s="47"/>
      <c r="BC41" s="47"/>
      <c r="BD41" s="47"/>
      <c r="BE41" s="123">
        <v>45626</v>
      </c>
      <c r="BF41" s="37" t="s">
        <v>1926</v>
      </c>
      <c r="BG41" s="47"/>
      <c r="BH41" s="37"/>
      <c r="BI41" s="37"/>
      <c r="BJ41" s="37"/>
      <c r="BK41" s="47"/>
      <c r="BL41" s="85"/>
      <c r="BM41" s="47"/>
      <c r="BN41" s="37"/>
      <c r="BO41" s="47"/>
      <c r="BP41" s="27"/>
      <c r="BQ41" s="37"/>
      <c r="BR41" s="47"/>
      <c r="BS41" s="47"/>
      <c r="BT41" s="47"/>
      <c r="BU41" s="206" t="s">
        <v>594</v>
      </c>
      <c r="BV41" s="47"/>
      <c r="BW41" s="47"/>
      <c r="BX41" s="209">
        <v>45199</v>
      </c>
    </row>
    <row r="42" s="103" customFormat="1" ht="24" customHeight="1" spans="1:76">
      <c r="A42" s="7">
        <v>40</v>
      </c>
      <c r="B42" s="47" t="s">
        <v>1940</v>
      </c>
      <c r="C42" s="47" t="s">
        <v>1941</v>
      </c>
      <c r="D42" s="111" t="str">
        <f t="shared" si="5"/>
        <v>男</v>
      </c>
      <c r="E42" s="47" t="s">
        <v>1264</v>
      </c>
      <c r="F42" s="47" t="s">
        <v>144</v>
      </c>
      <c r="G42" s="47" t="s">
        <v>1838</v>
      </c>
      <c r="H42" s="123">
        <v>45608</v>
      </c>
      <c r="I42" s="47">
        <v>15181290136</v>
      </c>
      <c r="J42" s="270" t="s">
        <v>1942</v>
      </c>
      <c r="K42" s="47" t="s">
        <v>1943</v>
      </c>
      <c r="L42" s="37" t="s">
        <v>1944</v>
      </c>
      <c r="M42" s="47" t="s">
        <v>149</v>
      </c>
      <c r="N42" s="37" t="s">
        <v>1944</v>
      </c>
      <c r="O42" s="123">
        <v>37184</v>
      </c>
      <c r="P42" s="34">
        <f ca="1" t="shared" si="6"/>
        <v>25</v>
      </c>
      <c r="Q42" s="47">
        <f ca="1" t="shared" si="7"/>
        <v>1</v>
      </c>
      <c r="R42" s="47" t="s">
        <v>88</v>
      </c>
      <c r="S42" s="47" t="s">
        <v>403</v>
      </c>
      <c r="T42" s="47" t="s">
        <v>1286</v>
      </c>
      <c r="U42" s="47" t="s">
        <v>91</v>
      </c>
      <c r="V42" s="47" t="s">
        <v>92</v>
      </c>
      <c r="W42" s="47"/>
      <c r="X42" s="47"/>
      <c r="Y42" s="47"/>
      <c r="Z42" s="47"/>
      <c r="AA42" s="47"/>
      <c r="AB42" s="47"/>
      <c r="AC42" s="47"/>
      <c r="AD42" s="47"/>
      <c r="AE42" s="47"/>
      <c r="AF42" s="47" t="s">
        <v>406</v>
      </c>
      <c r="AG42" s="47" t="s">
        <v>1945</v>
      </c>
      <c r="AH42" s="47" t="s">
        <v>1354</v>
      </c>
      <c r="AI42" s="47">
        <v>2020.9</v>
      </c>
      <c r="AJ42" s="47">
        <v>2024.6</v>
      </c>
      <c r="AK42" s="47"/>
      <c r="AL42" s="47"/>
      <c r="AM42" s="47"/>
      <c r="AN42" s="47" t="s">
        <v>194</v>
      </c>
      <c r="AO42" s="37" t="s">
        <v>1944</v>
      </c>
      <c r="AP42" s="47" t="s">
        <v>815</v>
      </c>
      <c r="AQ42" s="47" t="s">
        <v>1946</v>
      </c>
      <c r="AR42" s="47" t="s">
        <v>214</v>
      </c>
      <c r="AS42" s="47">
        <v>52</v>
      </c>
      <c r="AT42" s="47" t="s">
        <v>445</v>
      </c>
      <c r="AU42" s="47" t="s">
        <v>1946</v>
      </c>
      <c r="AV42" s="47" t="s">
        <v>197</v>
      </c>
      <c r="AW42" s="47">
        <v>13684295405</v>
      </c>
      <c r="AX42" s="37" t="s">
        <v>1947</v>
      </c>
      <c r="AY42" s="47">
        <v>0</v>
      </c>
      <c r="AZ42" s="123">
        <v>45608</v>
      </c>
      <c r="BA42" s="123">
        <v>45699</v>
      </c>
      <c r="BB42" s="47" t="s">
        <v>1948</v>
      </c>
      <c r="BC42" s="47"/>
      <c r="BD42" s="47"/>
      <c r="BE42" s="123">
        <v>45636</v>
      </c>
      <c r="BF42" s="47" t="s">
        <v>1949</v>
      </c>
      <c r="BG42" s="47"/>
      <c r="BH42" s="37" t="s">
        <v>1950</v>
      </c>
      <c r="BI42" s="47"/>
      <c r="BJ42" s="47"/>
      <c r="BK42" s="47"/>
      <c r="BL42" s="269" t="s">
        <v>1951</v>
      </c>
      <c r="BM42" s="47"/>
      <c r="BN42" s="47"/>
      <c r="BO42" s="47"/>
      <c r="BP42" s="47"/>
      <c r="BQ42" s="47"/>
      <c r="BR42" s="47"/>
      <c r="BS42" s="47" t="s">
        <v>111</v>
      </c>
      <c r="BT42" s="47"/>
      <c r="BU42" s="208" t="s">
        <v>1952</v>
      </c>
      <c r="BV42" s="47"/>
      <c r="BW42" s="47"/>
      <c r="BX42" s="47" t="s">
        <v>403</v>
      </c>
    </row>
    <row r="43" s="101" customFormat="1" ht="24" customHeight="1" spans="1:76">
      <c r="A43" s="7">
        <v>41</v>
      </c>
      <c r="B43" s="9" t="s">
        <v>1345</v>
      </c>
      <c r="C43" s="8" t="s">
        <v>1529</v>
      </c>
      <c r="D43" s="8" t="str">
        <f t="shared" si="5"/>
        <v>男</v>
      </c>
      <c r="E43" s="9" t="s">
        <v>644</v>
      </c>
      <c r="F43" s="9" t="s">
        <v>144</v>
      </c>
      <c r="G43" s="19" t="s">
        <v>679</v>
      </c>
      <c r="H43" s="18">
        <v>45505</v>
      </c>
      <c r="I43" s="8">
        <v>13986973613</v>
      </c>
      <c r="J43" s="27" t="s">
        <v>1531</v>
      </c>
      <c r="K43" s="28" t="s">
        <v>258</v>
      </c>
      <c r="L43" s="28" t="s">
        <v>1532</v>
      </c>
      <c r="M43" s="9" t="s">
        <v>149</v>
      </c>
      <c r="N43" s="49" t="s">
        <v>1532</v>
      </c>
      <c r="O43" s="32" t="s">
        <v>1533</v>
      </c>
      <c r="P43" s="34">
        <f ca="1" t="shared" si="6"/>
        <v>67</v>
      </c>
      <c r="Q43" s="47">
        <f ca="1" t="shared" si="7"/>
        <v>1</v>
      </c>
      <c r="R43" s="28" t="s">
        <v>88</v>
      </c>
      <c r="S43" s="9" t="s">
        <v>245</v>
      </c>
      <c r="T43" s="28" t="s">
        <v>90</v>
      </c>
      <c r="U43" s="9" t="s">
        <v>91</v>
      </c>
      <c r="V43" s="9" t="s">
        <v>92</v>
      </c>
      <c r="W43" s="9"/>
      <c r="X43" s="9"/>
      <c r="Y43" s="37" t="s">
        <v>246</v>
      </c>
      <c r="Z43" s="9">
        <v>2024.3</v>
      </c>
      <c r="AA43" s="148">
        <v>2024.7</v>
      </c>
      <c r="AB43" s="9" t="s">
        <v>7</v>
      </c>
      <c r="AC43" s="9"/>
      <c r="AD43" s="9"/>
      <c r="AE43" s="9"/>
      <c r="AF43" s="8" t="s">
        <v>96</v>
      </c>
      <c r="AG43" s="49" t="s">
        <v>1535</v>
      </c>
      <c r="AH43" s="28" t="s">
        <v>1536</v>
      </c>
      <c r="AI43" s="9">
        <v>1974.9</v>
      </c>
      <c r="AJ43" s="9">
        <v>1976.6</v>
      </c>
      <c r="AK43" s="9"/>
      <c r="AL43" s="9"/>
      <c r="AM43" s="45"/>
      <c r="AN43" s="46" t="s">
        <v>99</v>
      </c>
      <c r="AO43" s="28" t="s">
        <v>1532</v>
      </c>
      <c r="AP43" s="49" t="s">
        <v>123</v>
      </c>
      <c r="AQ43" s="47" t="s">
        <v>1538</v>
      </c>
      <c r="AR43" s="9" t="s">
        <v>102</v>
      </c>
      <c r="AS43" s="9">
        <v>41</v>
      </c>
      <c r="AT43" s="9" t="s">
        <v>178</v>
      </c>
      <c r="AU43" s="9" t="s">
        <v>1539</v>
      </c>
      <c r="AV43" s="9" t="s">
        <v>104</v>
      </c>
      <c r="AW43" s="28">
        <v>17573043668</v>
      </c>
      <c r="AX43" s="49" t="s">
        <v>1953</v>
      </c>
      <c r="AY43" s="9">
        <v>1</v>
      </c>
      <c r="AZ43" s="50">
        <v>45505</v>
      </c>
      <c r="BA43" s="184">
        <v>45869</v>
      </c>
      <c r="BB43" s="9" t="s">
        <v>106</v>
      </c>
      <c r="BC43" s="185"/>
      <c r="BD43" s="53"/>
      <c r="BE43" s="123">
        <v>45657</v>
      </c>
      <c r="BF43" s="188"/>
      <c r="BG43" s="53"/>
      <c r="BH43" s="49" t="s">
        <v>1542</v>
      </c>
      <c r="BI43" s="49"/>
      <c r="BJ43" s="49"/>
      <c r="BK43" s="47"/>
      <c r="BL43" s="278" t="s">
        <v>1543</v>
      </c>
      <c r="BM43" s="9"/>
      <c r="BN43" s="9"/>
      <c r="BO43" s="9"/>
      <c r="BP43" s="58"/>
      <c r="BQ43" s="49"/>
      <c r="BR43" s="9"/>
      <c r="BS43" s="9" t="s">
        <v>111</v>
      </c>
      <c r="BT43" s="9">
        <v>518</v>
      </c>
      <c r="BU43" s="199" t="s">
        <v>353</v>
      </c>
      <c r="BV43" s="47"/>
      <c r="BW43" s="47"/>
      <c r="BX43" s="200">
        <v>45505</v>
      </c>
    </row>
    <row r="44" s="103" customFormat="1" ht="24" customHeight="1" spans="1:76">
      <c r="A44" s="7">
        <v>42</v>
      </c>
      <c r="B44" s="47" t="s">
        <v>1954</v>
      </c>
      <c r="C44" s="58" t="s">
        <v>1955</v>
      </c>
      <c r="D44" s="111" t="str">
        <f t="shared" si="5"/>
        <v>女</v>
      </c>
      <c r="E44" s="47" t="s">
        <v>1492</v>
      </c>
      <c r="F44" s="47" t="s">
        <v>144</v>
      </c>
      <c r="G44" s="58" t="s">
        <v>1472</v>
      </c>
      <c r="H44" s="122">
        <v>44564</v>
      </c>
      <c r="I44" s="139" t="s">
        <v>1956</v>
      </c>
      <c r="J44" s="111" t="s">
        <v>1957</v>
      </c>
      <c r="K44" s="28" t="s">
        <v>205</v>
      </c>
      <c r="L44" s="58" t="s">
        <v>1958</v>
      </c>
      <c r="M44" s="47" t="s">
        <v>149</v>
      </c>
      <c r="N44" s="58" t="s">
        <v>1959</v>
      </c>
      <c r="O44" s="142" t="s">
        <v>1960</v>
      </c>
      <c r="P44" s="34">
        <f ca="1" t="shared" si="6"/>
        <v>37</v>
      </c>
      <c r="Q44" s="47">
        <f ca="1" t="shared" si="7"/>
        <v>4</v>
      </c>
      <c r="R44" s="28" t="s">
        <v>88</v>
      </c>
      <c r="S44" s="47" t="s">
        <v>89</v>
      </c>
      <c r="T44" s="58" t="s">
        <v>150</v>
      </c>
      <c r="U44" s="47" t="s">
        <v>91</v>
      </c>
      <c r="V44" s="47" t="s">
        <v>92</v>
      </c>
      <c r="W44" s="47" t="s">
        <v>573</v>
      </c>
      <c r="X44" s="47"/>
      <c r="Y44" s="37" t="s">
        <v>1961</v>
      </c>
      <c r="Z44" s="47">
        <v>2017.3</v>
      </c>
      <c r="AA44" s="47">
        <v>2021.12</v>
      </c>
      <c r="AB44" s="47" t="s">
        <v>1962</v>
      </c>
      <c r="AC44" s="47"/>
      <c r="AD44" s="47" t="s">
        <v>1963</v>
      </c>
      <c r="AE44" s="47">
        <v>13469773696</v>
      </c>
      <c r="AF44" s="111" t="s">
        <v>154</v>
      </c>
      <c r="AG44" s="37" t="s">
        <v>1964</v>
      </c>
      <c r="AH44" s="111" t="s">
        <v>1965</v>
      </c>
      <c r="AI44" s="47">
        <v>2008.9</v>
      </c>
      <c r="AJ44" s="47">
        <v>2011.6</v>
      </c>
      <c r="AK44" s="47"/>
      <c r="AL44" s="47"/>
      <c r="AM44" s="47"/>
      <c r="AN44" s="111" t="s">
        <v>99</v>
      </c>
      <c r="AO44" s="58" t="s">
        <v>1959</v>
      </c>
      <c r="AP44" s="47" t="s">
        <v>176</v>
      </c>
      <c r="AQ44" s="47" t="s">
        <v>1966</v>
      </c>
      <c r="AR44" s="155" t="s">
        <v>102</v>
      </c>
      <c r="AS44" s="47">
        <v>38</v>
      </c>
      <c r="AT44" s="47" t="s">
        <v>178</v>
      </c>
      <c r="AU44" s="47" t="s">
        <v>1966</v>
      </c>
      <c r="AV44" s="47" t="s">
        <v>104</v>
      </c>
      <c r="AW44" s="111">
        <v>17707241904</v>
      </c>
      <c r="AX44" s="37" t="s">
        <v>1967</v>
      </c>
      <c r="AY44" s="47">
        <v>3</v>
      </c>
      <c r="AZ44" s="123">
        <v>44636</v>
      </c>
      <c r="BA44" s="123">
        <v>45731</v>
      </c>
      <c r="BB44" s="47" t="s">
        <v>106</v>
      </c>
      <c r="BC44" s="47"/>
      <c r="BD44" s="47"/>
      <c r="BE44" s="123">
        <v>45657</v>
      </c>
      <c r="BF44" s="37"/>
      <c r="BG44" s="47">
        <v>82517164</v>
      </c>
      <c r="BH44" s="37" t="s">
        <v>1968</v>
      </c>
      <c r="BI44" s="37"/>
      <c r="BJ44" s="37"/>
      <c r="BK44" s="47"/>
      <c r="BL44" s="268" t="s">
        <v>1969</v>
      </c>
      <c r="BM44" s="47" t="s">
        <v>109</v>
      </c>
      <c r="BN44" s="37" t="s">
        <v>110</v>
      </c>
      <c r="BO44" s="47">
        <v>2022.4</v>
      </c>
      <c r="BP44" s="58" t="s">
        <v>1970</v>
      </c>
      <c r="BQ44" s="37" t="s">
        <v>1971</v>
      </c>
      <c r="BR44" s="47">
        <v>2022.4</v>
      </c>
      <c r="BS44" s="47" t="s">
        <v>111</v>
      </c>
      <c r="BT44" s="47"/>
      <c r="BU44" s="206" t="s">
        <v>320</v>
      </c>
      <c r="BV44" s="47"/>
      <c r="BW44" s="47"/>
      <c r="BX44" s="180">
        <v>44636</v>
      </c>
    </row>
    <row r="45" s="103" customFormat="1" ht="24" customHeight="1" spans="1:76">
      <c r="A45" s="7">
        <v>43</v>
      </c>
      <c r="B45" s="47" t="s">
        <v>1972</v>
      </c>
      <c r="C45" s="111" t="s">
        <v>1973</v>
      </c>
      <c r="D45" s="111" t="str">
        <f t="shared" si="5"/>
        <v>女</v>
      </c>
      <c r="E45" s="9" t="s">
        <v>1492</v>
      </c>
      <c r="F45" s="47" t="s">
        <v>144</v>
      </c>
      <c r="G45" s="17" t="s">
        <v>247</v>
      </c>
      <c r="H45" s="18">
        <v>45561</v>
      </c>
      <c r="I45" s="111">
        <v>19971552621</v>
      </c>
      <c r="J45" s="27" t="s">
        <v>1974</v>
      </c>
      <c r="K45" s="28" t="s">
        <v>224</v>
      </c>
      <c r="L45" s="28" t="s">
        <v>1975</v>
      </c>
      <c r="M45" s="47" t="s">
        <v>149</v>
      </c>
      <c r="N45" s="37" t="s">
        <v>1975</v>
      </c>
      <c r="O45" s="142">
        <v>25025</v>
      </c>
      <c r="P45" s="34">
        <f ca="1" t="shared" si="6"/>
        <v>58</v>
      </c>
      <c r="Q45" s="47">
        <v>0</v>
      </c>
      <c r="R45" s="28" t="s">
        <v>88</v>
      </c>
      <c r="S45" s="47" t="s">
        <v>403</v>
      </c>
      <c r="T45" s="28" t="s">
        <v>90</v>
      </c>
      <c r="U45" s="47" t="s">
        <v>91</v>
      </c>
      <c r="V45" s="47" t="s">
        <v>92</v>
      </c>
      <c r="W45" s="47"/>
      <c r="X45" s="47"/>
      <c r="Y45" s="47" t="s">
        <v>1976</v>
      </c>
      <c r="Z45" s="47">
        <v>2022.3</v>
      </c>
      <c r="AA45" s="47">
        <v>2023.1</v>
      </c>
      <c r="AB45" s="47" t="s">
        <v>247</v>
      </c>
      <c r="AC45" s="47"/>
      <c r="AD45" s="47"/>
      <c r="AE45" s="47"/>
      <c r="AF45" s="154" t="s">
        <v>122</v>
      </c>
      <c r="AG45" s="37"/>
      <c r="AH45" s="158"/>
      <c r="AI45" s="47"/>
      <c r="AJ45" s="47"/>
      <c r="AK45" s="47"/>
      <c r="AL45" s="47"/>
      <c r="AM45" s="47"/>
      <c r="AN45" s="111" t="s">
        <v>99</v>
      </c>
      <c r="AO45" s="37" t="s">
        <v>1975</v>
      </c>
      <c r="AP45" s="37" t="s">
        <v>176</v>
      </c>
      <c r="AQ45" s="47" t="s">
        <v>1977</v>
      </c>
      <c r="AR45" s="47" t="s">
        <v>102</v>
      </c>
      <c r="AS45" s="47"/>
      <c r="AT45" s="47"/>
      <c r="AU45" s="47" t="s">
        <v>1977</v>
      </c>
      <c r="AV45" s="47" t="s">
        <v>104</v>
      </c>
      <c r="AW45" s="28">
        <v>13797917720</v>
      </c>
      <c r="AX45" s="37" t="s">
        <v>1978</v>
      </c>
      <c r="AY45" s="47">
        <v>0</v>
      </c>
      <c r="AZ45" s="50">
        <v>45561</v>
      </c>
      <c r="BA45" s="123">
        <v>45651</v>
      </c>
      <c r="BB45" s="47" t="s">
        <v>106</v>
      </c>
      <c r="BC45" s="47"/>
      <c r="BD45" s="47"/>
      <c r="BE45" s="123">
        <v>45657</v>
      </c>
      <c r="BF45" s="37"/>
      <c r="BG45" s="47"/>
      <c r="BH45" s="37"/>
      <c r="BI45" s="37"/>
      <c r="BJ45" s="37"/>
      <c r="BK45" s="47"/>
      <c r="BL45" s="268" t="s">
        <v>1979</v>
      </c>
      <c r="BM45" s="47"/>
      <c r="BN45" s="47"/>
      <c r="BO45" s="47"/>
      <c r="BP45" s="58"/>
      <c r="BQ45" s="37"/>
      <c r="BR45" s="47"/>
      <c r="BS45" s="47" t="s">
        <v>111</v>
      </c>
      <c r="BT45" s="47"/>
      <c r="BU45" s="206" t="s">
        <v>775</v>
      </c>
      <c r="BV45" s="47"/>
      <c r="BW45" s="47"/>
      <c r="BX45" s="200" t="s">
        <v>403</v>
      </c>
    </row>
    <row r="46" s="103" customFormat="1" ht="24" customHeight="1" spans="1:76">
      <c r="A46" s="7">
        <v>44</v>
      </c>
      <c r="B46" s="47" t="s">
        <v>263</v>
      </c>
      <c r="C46" s="111" t="s">
        <v>1980</v>
      </c>
      <c r="D46" s="111" t="str">
        <f t="shared" si="5"/>
        <v>男</v>
      </c>
      <c r="E46" s="47" t="s">
        <v>81</v>
      </c>
      <c r="F46" s="47" t="s">
        <v>144</v>
      </c>
      <c r="G46" s="117" t="s">
        <v>121</v>
      </c>
      <c r="H46" s="122">
        <v>45621</v>
      </c>
      <c r="I46" s="111">
        <v>13677059302</v>
      </c>
      <c r="J46" s="265" t="s">
        <v>1981</v>
      </c>
      <c r="K46" s="111" t="s">
        <v>116</v>
      </c>
      <c r="L46" s="58" t="s">
        <v>1982</v>
      </c>
      <c r="M46" s="47" t="s">
        <v>149</v>
      </c>
      <c r="N46" s="37" t="s">
        <v>1983</v>
      </c>
      <c r="O46" s="142">
        <v>27399</v>
      </c>
      <c r="P46" s="34">
        <f ca="1" t="shared" si="6"/>
        <v>51</v>
      </c>
      <c r="Q46" s="47">
        <v>0</v>
      </c>
      <c r="R46" s="28" t="s">
        <v>88</v>
      </c>
      <c r="S46" s="47" t="s">
        <v>403</v>
      </c>
      <c r="T46" s="28" t="s">
        <v>90</v>
      </c>
      <c r="U46" s="47" t="s">
        <v>91</v>
      </c>
      <c r="V46" s="47" t="s">
        <v>92</v>
      </c>
      <c r="W46" s="47"/>
      <c r="X46" s="47"/>
      <c r="Y46" s="37" t="s">
        <v>1984</v>
      </c>
      <c r="Z46" s="47">
        <v>2024.3</v>
      </c>
      <c r="AA46" s="47">
        <v>2024.1</v>
      </c>
      <c r="AB46" s="47" t="s">
        <v>1985</v>
      </c>
      <c r="AC46" s="47"/>
      <c r="AD46" s="47"/>
      <c r="AE46" s="47"/>
      <c r="AF46" s="111" t="s">
        <v>122</v>
      </c>
      <c r="AG46" s="37"/>
      <c r="AH46" s="111"/>
      <c r="AI46" s="47"/>
      <c r="AJ46" s="47"/>
      <c r="AK46" s="47"/>
      <c r="AL46" s="47"/>
      <c r="AM46" s="47"/>
      <c r="AN46" s="111" t="s">
        <v>99</v>
      </c>
      <c r="AO46" s="37" t="s">
        <v>1986</v>
      </c>
      <c r="AP46" s="37" t="s">
        <v>212</v>
      </c>
      <c r="AQ46" s="47" t="s">
        <v>1987</v>
      </c>
      <c r="AR46" s="47" t="s">
        <v>214</v>
      </c>
      <c r="AS46" s="47">
        <v>50</v>
      </c>
      <c r="AT46" s="47" t="s">
        <v>619</v>
      </c>
      <c r="AU46" s="47" t="s">
        <v>1987</v>
      </c>
      <c r="AV46" s="47" t="s">
        <v>104</v>
      </c>
      <c r="AW46" s="111">
        <v>13593794420</v>
      </c>
      <c r="AX46" s="37" t="s">
        <v>1988</v>
      </c>
      <c r="AY46" s="47">
        <v>0</v>
      </c>
      <c r="AZ46" s="122">
        <v>45621</v>
      </c>
      <c r="BA46" s="123">
        <v>45712</v>
      </c>
      <c r="BB46" s="47" t="s">
        <v>106</v>
      </c>
      <c r="BC46" s="47"/>
      <c r="BD46" s="47"/>
      <c r="BE46" s="123">
        <v>45657</v>
      </c>
      <c r="BF46" s="37"/>
      <c r="BG46" s="47"/>
      <c r="BH46" s="37"/>
      <c r="BI46" s="37"/>
      <c r="BJ46" s="37"/>
      <c r="BK46" s="47"/>
      <c r="BL46" s="283" t="s">
        <v>1989</v>
      </c>
      <c r="BM46" s="47"/>
      <c r="BN46" s="37"/>
      <c r="BO46" s="47"/>
      <c r="BP46" s="58"/>
      <c r="BQ46" s="37"/>
      <c r="BR46" s="47"/>
      <c r="BS46" s="47" t="s">
        <v>111</v>
      </c>
      <c r="BT46" s="47"/>
      <c r="BU46" s="206" t="s">
        <v>1952</v>
      </c>
      <c r="BV46" s="47"/>
      <c r="BW46" s="47"/>
      <c r="BX46" s="207" t="s">
        <v>403</v>
      </c>
    </row>
    <row r="47" s="103" customFormat="1" ht="24" customHeight="1" spans="1:76">
      <c r="A47" s="7">
        <v>45</v>
      </c>
      <c r="B47" s="47" t="s">
        <v>1296</v>
      </c>
      <c r="C47" s="47" t="s">
        <v>1990</v>
      </c>
      <c r="D47" s="111" t="str">
        <f t="shared" si="5"/>
        <v>女</v>
      </c>
      <c r="E47" s="47" t="s">
        <v>398</v>
      </c>
      <c r="F47" s="47" t="s">
        <v>144</v>
      </c>
      <c r="G47" s="124" t="s">
        <v>1991</v>
      </c>
      <c r="H47" s="123">
        <v>45499</v>
      </c>
      <c r="I47" s="111">
        <v>13477542592</v>
      </c>
      <c r="J47" s="270" t="s">
        <v>1992</v>
      </c>
      <c r="K47" s="138" t="s">
        <v>116</v>
      </c>
      <c r="L47" s="37" t="s">
        <v>1993</v>
      </c>
      <c r="M47" s="47" t="s">
        <v>282</v>
      </c>
      <c r="N47" s="37" t="s">
        <v>1994</v>
      </c>
      <c r="O47" s="142">
        <v>30610</v>
      </c>
      <c r="P47" s="34">
        <f ca="1" t="shared" si="6"/>
        <v>43</v>
      </c>
      <c r="Q47" s="47">
        <f ca="1">IF(H47="","",DATEDIF(H47,TODAY(),"Y"))</f>
        <v>1</v>
      </c>
      <c r="R47" s="28" t="s">
        <v>88</v>
      </c>
      <c r="S47" s="47" t="s">
        <v>89</v>
      </c>
      <c r="T47" s="111" t="s">
        <v>90</v>
      </c>
      <c r="U47" s="47" t="s">
        <v>91</v>
      </c>
      <c r="V47" s="47" t="s">
        <v>92</v>
      </c>
      <c r="W47" s="47"/>
      <c r="X47" s="47"/>
      <c r="Y47" s="37" t="s">
        <v>1995</v>
      </c>
      <c r="Z47" s="47">
        <v>2020.11</v>
      </c>
      <c r="AA47" s="47">
        <v>2023.12</v>
      </c>
      <c r="AB47" s="47" t="s">
        <v>1996</v>
      </c>
      <c r="AC47" s="47"/>
      <c r="AD47" s="47" t="s">
        <v>1997</v>
      </c>
      <c r="AE47" s="47">
        <v>13774053048</v>
      </c>
      <c r="AF47" s="155" t="s">
        <v>154</v>
      </c>
      <c r="AG47" s="37" t="s">
        <v>1998</v>
      </c>
      <c r="AH47" s="155" t="s">
        <v>1999</v>
      </c>
      <c r="AI47" s="47">
        <v>2021.3</v>
      </c>
      <c r="AJ47" s="47">
        <v>2023.7</v>
      </c>
      <c r="AK47" s="47"/>
      <c r="AL47" s="47" t="s">
        <v>2000</v>
      </c>
      <c r="AM47" s="47"/>
      <c r="AN47" s="111" t="s">
        <v>99</v>
      </c>
      <c r="AO47" s="37" t="s">
        <v>1994</v>
      </c>
      <c r="AP47" s="37" t="s">
        <v>176</v>
      </c>
      <c r="AQ47" s="47" t="s">
        <v>2001</v>
      </c>
      <c r="AR47" s="47" t="s">
        <v>102</v>
      </c>
      <c r="AS47" s="47">
        <v>40</v>
      </c>
      <c r="AT47" s="47" t="s">
        <v>445</v>
      </c>
      <c r="AU47" s="47" t="s">
        <v>2001</v>
      </c>
      <c r="AV47" s="47" t="s">
        <v>104</v>
      </c>
      <c r="AW47" s="111">
        <v>15807169335</v>
      </c>
      <c r="AX47" s="178" t="s">
        <v>589</v>
      </c>
      <c r="AY47" s="47">
        <v>0</v>
      </c>
      <c r="AZ47" s="123">
        <v>45499</v>
      </c>
      <c r="BA47" s="123">
        <v>45590</v>
      </c>
      <c r="BB47" s="47"/>
      <c r="BC47" s="47"/>
      <c r="BD47" s="47"/>
      <c r="BE47" s="123">
        <v>45657</v>
      </c>
      <c r="BF47" s="37"/>
      <c r="BG47" s="47"/>
      <c r="BH47" s="37" t="s">
        <v>2002</v>
      </c>
      <c r="BI47" s="37"/>
      <c r="BJ47" s="37"/>
      <c r="BK47" s="47"/>
      <c r="BL47" s="275" t="s">
        <v>2003</v>
      </c>
      <c r="BM47" s="47" t="s">
        <v>109</v>
      </c>
      <c r="BN47" s="37" t="s">
        <v>110</v>
      </c>
      <c r="BO47" s="47">
        <v>2024.11</v>
      </c>
      <c r="BP47" s="47"/>
      <c r="BQ47" s="47"/>
      <c r="BR47" s="47">
        <v>2024.11</v>
      </c>
      <c r="BS47" s="47" t="s">
        <v>111</v>
      </c>
      <c r="BT47" s="47"/>
      <c r="BU47" s="208" t="s">
        <v>1055</v>
      </c>
      <c r="BV47" s="47"/>
      <c r="BW47" s="47"/>
      <c r="BX47" s="123">
        <v>45597</v>
      </c>
    </row>
    <row r="48" s="103" customFormat="1" ht="12" customHeight="1" spans="1:76">
      <c r="A48" s="2"/>
      <c r="D48" s="114"/>
      <c r="G48" s="125"/>
      <c r="H48" s="126"/>
      <c r="I48" s="114"/>
      <c r="K48" s="140"/>
      <c r="L48" s="125"/>
      <c r="N48" s="125"/>
      <c r="O48" s="143"/>
      <c r="P48" s="144"/>
      <c r="R48" s="146"/>
      <c r="T48" s="114"/>
      <c r="Y48" s="125"/>
      <c r="AG48" s="125"/>
      <c r="AN48" s="114"/>
      <c r="AO48" s="125"/>
      <c r="AP48" s="125"/>
      <c r="AW48" s="114"/>
      <c r="AX48" s="125"/>
      <c r="AZ48" s="126"/>
      <c r="BA48" s="126"/>
      <c r="BE48" s="126"/>
      <c r="BF48" s="125"/>
      <c r="BH48" s="125"/>
      <c r="BI48" s="125"/>
      <c r="BJ48" s="125"/>
      <c r="BL48" s="196"/>
      <c r="BN48" s="125"/>
      <c r="BU48" s="210"/>
      <c r="BX48" s="126"/>
    </row>
    <row r="49" s="70" customFormat="1" ht="24" customHeight="1" spans="1:57">
      <c r="A49" s="81" t="s">
        <v>2004</v>
      </c>
      <c r="B49" s="81"/>
      <c r="C49" s="81"/>
      <c r="D49" s="81"/>
      <c r="E49" s="81"/>
      <c r="F49" s="81"/>
      <c r="G49" s="81"/>
      <c r="AX49" s="179"/>
      <c r="BE49" s="179"/>
    </row>
    <row r="51" customFormat="1" ht="26" customHeight="1" spans="1:76">
      <c r="A51" s="11"/>
      <c r="B51" s="12" t="s">
        <v>2005</v>
      </c>
      <c r="C51" s="13"/>
      <c r="D51" s="13"/>
      <c r="E51" s="22"/>
      <c r="F51" s="13"/>
      <c r="G51" s="31"/>
      <c r="H51" s="13"/>
      <c r="I51" s="13"/>
      <c r="J51" s="13"/>
      <c r="K51" s="13"/>
      <c r="L51" s="31"/>
      <c r="M51" s="13"/>
      <c r="N51" s="31"/>
      <c r="O51" s="13"/>
      <c r="P51" s="13"/>
      <c r="Q51" s="13"/>
      <c r="R51" s="13"/>
      <c r="S51" s="13"/>
      <c r="T51" s="13"/>
      <c r="U51" s="35"/>
      <c r="V51" s="12" t="s">
        <v>1</v>
      </c>
      <c r="W51" s="22"/>
      <c r="X51" s="35"/>
      <c r="Y51" s="38" t="s">
        <v>2</v>
      </c>
      <c r="Z51" s="13"/>
      <c r="AA51" s="13"/>
      <c r="AB51" s="13"/>
      <c r="AC51" s="13"/>
      <c r="AD51" s="13"/>
      <c r="AE51" s="13"/>
      <c r="AF51" s="12" t="s">
        <v>3</v>
      </c>
      <c r="AG51" s="31"/>
      <c r="AH51" s="13"/>
      <c r="AI51" s="13"/>
      <c r="AJ51" s="13"/>
      <c r="AK51" s="13"/>
      <c r="AL51" s="13"/>
      <c r="AM51" s="35"/>
      <c r="AN51" s="12" t="s">
        <v>4</v>
      </c>
      <c r="AO51" s="13"/>
      <c r="AP51" s="13"/>
      <c r="AQ51" s="13"/>
      <c r="AR51" s="13"/>
      <c r="AS51" s="13"/>
      <c r="AT51" s="13"/>
      <c r="AU51" s="13"/>
      <c r="AV51" s="13"/>
      <c r="AW51" s="13"/>
      <c r="AX51" s="56" t="s">
        <v>5</v>
      </c>
      <c r="AY51" s="13"/>
      <c r="AZ51" s="13"/>
      <c r="BA51" s="13"/>
      <c r="BB51" s="13"/>
      <c r="BC51" s="13"/>
      <c r="BD51" s="13"/>
      <c r="BE51" s="57"/>
      <c r="BF51" s="13"/>
      <c r="BG51" s="13"/>
      <c r="BH51" s="35"/>
      <c r="BI51" s="56" t="s">
        <v>6</v>
      </c>
      <c r="BJ51" s="57"/>
      <c r="BK51" s="57"/>
      <c r="BL51" s="57"/>
      <c r="BM51" s="57"/>
      <c r="BN51" s="57"/>
      <c r="BO51" s="57"/>
      <c r="BP51" s="57"/>
      <c r="BQ51" s="57"/>
      <c r="BR51" s="60"/>
      <c r="BS51" s="61" t="s">
        <v>7</v>
      </c>
      <c r="BT51" s="61"/>
      <c r="BU51" s="61"/>
      <c r="BV51" s="61"/>
      <c r="BW51" s="61"/>
      <c r="BX51" s="165" t="s">
        <v>130</v>
      </c>
    </row>
    <row r="52" s="100" customFormat="1" ht="30" customHeight="1" spans="1:76">
      <c r="A52" s="108" t="s">
        <v>8</v>
      </c>
      <c r="B52" s="109" t="s">
        <v>9</v>
      </c>
      <c r="C52" s="109" t="s">
        <v>10</v>
      </c>
      <c r="D52" s="109" t="s">
        <v>11</v>
      </c>
      <c r="E52" s="109" t="s">
        <v>12</v>
      </c>
      <c r="F52" s="109" t="s">
        <v>13</v>
      </c>
      <c r="G52" s="72" t="s">
        <v>14</v>
      </c>
      <c r="H52" s="109" t="s">
        <v>15</v>
      </c>
      <c r="I52" s="109" t="s">
        <v>16</v>
      </c>
      <c r="J52" s="109" t="s">
        <v>17</v>
      </c>
      <c r="K52" s="109" t="s">
        <v>18</v>
      </c>
      <c r="L52" s="72" t="s">
        <v>19</v>
      </c>
      <c r="M52" s="109" t="s">
        <v>20</v>
      </c>
      <c r="N52" s="72" t="s">
        <v>21</v>
      </c>
      <c r="O52" s="109" t="s">
        <v>22</v>
      </c>
      <c r="P52" s="109" t="s">
        <v>23</v>
      </c>
      <c r="Q52" s="109" t="s">
        <v>24</v>
      </c>
      <c r="R52" s="109" t="s">
        <v>25</v>
      </c>
      <c r="S52" s="109" t="s">
        <v>26</v>
      </c>
      <c r="T52" s="72" t="s">
        <v>132</v>
      </c>
      <c r="U52" s="109" t="s">
        <v>28</v>
      </c>
      <c r="V52" s="109" t="s">
        <v>29</v>
      </c>
      <c r="W52" s="109" t="s">
        <v>30</v>
      </c>
      <c r="X52" s="109" t="s">
        <v>31</v>
      </c>
      <c r="Y52" s="147" t="s">
        <v>32</v>
      </c>
      <c r="Z52" s="109" t="s">
        <v>33</v>
      </c>
      <c r="AA52" s="109" t="s">
        <v>34</v>
      </c>
      <c r="AB52" s="109" t="s">
        <v>35</v>
      </c>
      <c r="AC52" s="109" t="s">
        <v>36</v>
      </c>
      <c r="AD52" s="109" t="s">
        <v>37</v>
      </c>
      <c r="AE52" s="109" t="s">
        <v>38</v>
      </c>
      <c r="AF52" s="109" t="s">
        <v>39</v>
      </c>
      <c r="AG52" s="147" t="s">
        <v>40</v>
      </c>
      <c r="AH52" s="109" t="s">
        <v>41</v>
      </c>
      <c r="AI52" s="109" t="s">
        <v>33</v>
      </c>
      <c r="AJ52" s="109" t="s">
        <v>34</v>
      </c>
      <c r="AK52" s="108" t="s">
        <v>42</v>
      </c>
      <c r="AL52" s="159" t="s">
        <v>43</v>
      </c>
      <c r="AM52" s="160" t="s">
        <v>44</v>
      </c>
      <c r="AN52" s="161" t="s">
        <v>133</v>
      </c>
      <c r="AO52" s="109" t="s">
        <v>46</v>
      </c>
      <c r="AP52" s="164" t="s">
        <v>47</v>
      </c>
      <c r="AQ52" s="165" t="s">
        <v>10</v>
      </c>
      <c r="AR52" s="109" t="s">
        <v>11</v>
      </c>
      <c r="AS52" s="108" t="s">
        <v>23</v>
      </c>
      <c r="AT52" s="109" t="s">
        <v>48</v>
      </c>
      <c r="AU52" s="164" t="s">
        <v>49</v>
      </c>
      <c r="AV52" s="166" t="s">
        <v>50</v>
      </c>
      <c r="AW52" s="108" t="s">
        <v>51</v>
      </c>
      <c r="AX52" s="72" t="s">
        <v>52</v>
      </c>
      <c r="AY52" s="164" t="s">
        <v>53</v>
      </c>
      <c r="AZ52" s="167" t="s">
        <v>54</v>
      </c>
      <c r="BA52" s="109" t="s">
        <v>55</v>
      </c>
      <c r="BB52" s="167" t="s">
        <v>56</v>
      </c>
      <c r="BC52" s="109" t="s">
        <v>57</v>
      </c>
      <c r="BD52" s="167" t="s">
        <v>58</v>
      </c>
      <c r="BE52" s="109" t="s">
        <v>59</v>
      </c>
      <c r="BF52" s="164" t="s">
        <v>60</v>
      </c>
      <c r="BG52" s="109" t="s">
        <v>61</v>
      </c>
      <c r="BH52" s="72" t="s">
        <v>62</v>
      </c>
      <c r="BI52" s="72" t="s">
        <v>63</v>
      </c>
      <c r="BJ52" s="72" t="s">
        <v>64</v>
      </c>
      <c r="BK52" s="165" t="s">
        <v>65</v>
      </c>
      <c r="BL52" s="72" t="s">
        <v>66</v>
      </c>
      <c r="BM52" s="109" t="s">
        <v>67</v>
      </c>
      <c r="BN52" s="109" t="s">
        <v>68</v>
      </c>
      <c r="BO52" s="72" t="s">
        <v>69</v>
      </c>
      <c r="BP52" s="109" t="s">
        <v>70</v>
      </c>
      <c r="BQ52" s="72" t="s">
        <v>71</v>
      </c>
      <c r="BR52" s="72" t="s">
        <v>72</v>
      </c>
      <c r="BS52" s="108" t="s">
        <v>73</v>
      </c>
      <c r="BT52" s="108" t="s">
        <v>74</v>
      </c>
      <c r="BU52" s="165" t="s">
        <v>75</v>
      </c>
      <c r="BV52" s="165" t="s">
        <v>76</v>
      </c>
      <c r="BW52" s="165" t="s">
        <v>77</v>
      </c>
      <c r="BX52" s="165"/>
    </row>
    <row r="53" s="103" customFormat="1" ht="29" customHeight="1" spans="1:76">
      <c r="A53" s="7">
        <v>1</v>
      </c>
      <c r="B53" s="47" t="s">
        <v>2006</v>
      </c>
      <c r="C53" s="58" t="s">
        <v>2007</v>
      </c>
      <c r="D53" s="111" t="str">
        <f t="shared" ref="D53:D61" si="8">IF(MOD(MID(J53,17,1),2)=1,"男","女")</f>
        <v>女</v>
      </c>
      <c r="E53" s="47" t="s">
        <v>1492</v>
      </c>
      <c r="F53" s="47" t="s">
        <v>144</v>
      </c>
      <c r="G53" s="58" t="s">
        <v>2008</v>
      </c>
      <c r="H53" s="122">
        <v>45474</v>
      </c>
      <c r="I53" s="139" t="s">
        <v>2009</v>
      </c>
      <c r="J53" s="265" t="s">
        <v>2010</v>
      </c>
      <c r="K53" s="28" t="s">
        <v>116</v>
      </c>
      <c r="L53" s="58" t="s">
        <v>2011</v>
      </c>
      <c r="M53" s="47" t="s">
        <v>149</v>
      </c>
      <c r="N53" s="58" t="s">
        <v>2012</v>
      </c>
      <c r="O53" s="142">
        <v>33958</v>
      </c>
      <c r="P53" s="34">
        <f ca="1" t="shared" ref="P53:P61" si="9">YEAR(TODAY())-MID(J53,7,4)</f>
        <v>34</v>
      </c>
      <c r="Q53" s="47">
        <f ca="1" t="shared" ref="Q53:Q61" si="10">IF(H53="","",DATEDIF(H53,TODAY(),"Y"))</f>
        <v>1</v>
      </c>
      <c r="R53" s="28" t="s">
        <v>88</v>
      </c>
      <c r="S53" s="47" t="s">
        <v>89</v>
      </c>
      <c r="T53" s="58" t="s">
        <v>90</v>
      </c>
      <c r="U53" s="47" t="s">
        <v>91</v>
      </c>
      <c r="V53" s="47" t="s">
        <v>92</v>
      </c>
      <c r="W53" s="47"/>
      <c r="X53" s="47"/>
      <c r="Y53" s="37" t="s">
        <v>2013</v>
      </c>
      <c r="Z53" s="47">
        <v>2023.1</v>
      </c>
      <c r="AA53" s="47">
        <v>2024.6</v>
      </c>
      <c r="AB53" s="47" t="s">
        <v>2014</v>
      </c>
      <c r="AC53" s="47"/>
      <c r="AD53" s="47" t="s">
        <v>2015</v>
      </c>
      <c r="AE53" s="47">
        <v>18674017672</v>
      </c>
      <c r="AF53" s="111" t="s">
        <v>154</v>
      </c>
      <c r="AG53" s="37" t="s">
        <v>2016</v>
      </c>
      <c r="AH53" s="37" t="s">
        <v>2017</v>
      </c>
      <c r="AI53" s="47">
        <v>2014.9</v>
      </c>
      <c r="AJ53" s="47">
        <v>2017.4</v>
      </c>
      <c r="AK53" s="47"/>
      <c r="AL53" s="47"/>
      <c r="AM53" s="47"/>
      <c r="AN53" s="111" t="s">
        <v>99</v>
      </c>
      <c r="AO53" s="58" t="s">
        <v>2012</v>
      </c>
      <c r="AP53" s="47" t="s">
        <v>176</v>
      </c>
      <c r="AQ53" s="47" t="s">
        <v>2018</v>
      </c>
      <c r="AR53" s="155" t="s">
        <v>102</v>
      </c>
      <c r="AS53" s="47">
        <v>33</v>
      </c>
      <c r="AT53" s="47" t="s">
        <v>178</v>
      </c>
      <c r="AU53" s="47" t="s">
        <v>2018</v>
      </c>
      <c r="AV53" s="47" t="s">
        <v>104</v>
      </c>
      <c r="AW53" s="111">
        <v>15827852223</v>
      </c>
      <c r="AX53" s="37" t="s">
        <v>561</v>
      </c>
      <c r="AY53" s="47">
        <v>0</v>
      </c>
      <c r="AZ53" s="123">
        <v>45566</v>
      </c>
      <c r="BA53" s="123">
        <v>45930</v>
      </c>
      <c r="BB53" s="47" t="s">
        <v>106</v>
      </c>
      <c r="BC53" s="47"/>
      <c r="BD53" s="47"/>
      <c r="BE53" s="123">
        <v>45660</v>
      </c>
      <c r="BF53" s="37"/>
      <c r="BG53" s="47"/>
      <c r="BH53" s="37" t="s">
        <v>2019</v>
      </c>
      <c r="BI53" s="37"/>
      <c r="BJ53" s="37"/>
      <c r="BK53" s="47"/>
      <c r="BL53" s="268" t="s">
        <v>2020</v>
      </c>
      <c r="BM53" s="47" t="s">
        <v>109</v>
      </c>
      <c r="BN53" s="37" t="s">
        <v>110</v>
      </c>
      <c r="BO53" s="63" t="s">
        <v>2021</v>
      </c>
      <c r="BP53" s="58"/>
      <c r="BQ53" s="37"/>
      <c r="BR53" s="63" t="s">
        <v>2021</v>
      </c>
      <c r="BS53" s="47" t="s">
        <v>111</v>
      </c>
      <c r="BT53" s="47"/>
      <c r="BU53" s="206" t="s">
        <v>1952</v>
      </c>
      <c r="BV53" s="47"/>
      <c r="BW53" s="47"/>
      <c r="BX53" s="180">
        <v>45566</v>
      </c>
    </row>
    <row r="54" s="103" customFormat="1" ht="29" customHeight="1" spans="1:76">
      <c r="A54" s="7">
        <v>2</v>
      </c>
      <c r="B54" s="47" t="s">
        <v>2022</v>
      </c>
      <c r="C54" s="111" t="s">
        <v>2023</v>
      </c>
      <c r="D54" s="111" t="str">
        <f t="shared" si="8"/>
        <v>男</v>
      </c>
      <c r="E54" s="47" t="s">
        <v>81</v>
      </c>
      <c r="F54" s="47" t="s">
        <v>144</v>
      </c>
      <c r="G54" s="58" t="s">
        <v>83</v>
      </c>
      <c r="H54" s="122">
        <v>44977</v>
      </c>
      <c r="I54" s="111">
        <v>13839526141</v>
      </c>
      <c r="J54" s="265" t="s">
        <v>2024</v>
      </c>
      <c r="K54" s="111" t="s">
        <v>2025</v>
      </c>
      <c r="L54" s="58" t="s">
        <v>2026</v>
      </c>
      <c r="M54" s="47" t="s">
        <v>149</v>
      </c>
      <c r="N54" s="37" t="s">
        <v>144</v>
      </c>
      <c r="O54" s="32" t="str">
        <f t="shared" ref="O54:O61" si="11">TEXT(MID(J54,7,8),"0-00-00")</f>
        <v>1986-08-23</v>
      </c>
      <c r="P54" s="34">
        <f ca="1" t="shared" si="9"/>
        <v>40</v>
      </c>
      <c r="Q54" s="47">
        <f ca="1" t="shared" si="10"/>
        <v>3</v>
      </c>
      <c r="R54" s="28" t="s">
        <v>88</v>
      </c>
      <c r="S54" s="47" t="s">
        <v>89</v>
      </c>
      <c r="T54" s="111" t="s">
        <v>90</v>
      </c>
      <c r="U54" s="47" t="s">
        <v>91</v>
      </c>
      <c r="V54" s="47" t="s">
        <v>92</v>
      </c>
      <c r="W54" s="47" t="s">
        <v>499</v>
      </c>
      <c r="X54" s="47"/>
      <c r="Y54" s="37" t="s">
        <v>1753</v>
      </c>
      <c r="Z54" s="47">
        <v>2019.2</v>
      </c>
      <c r="AA54" s="47">
        <v>2020.1</v>
      </c>
      <c r="AB54" s="47" t="s">
        <v>2027</v>
      </c>
      <c r="AC54" s="47"/>
      <c r="AD54" s="47"/>
      <c r="AE54" s="47"/>
      <c r="AF54" s="111" t="s">
        <v>208</v>
      </c>
      <c r="AG54" s="37" t="s">
        <v>2028</v>
      </c>
      <c r="AH54" s="111" t="s">
        <v>2029</v>
      </c>
      <c r="AI54" s="47">
        <v>2002.9</v>
      </c>
      <c r="AJ54" s="47">
        <v>2005.8</v>
      </c>
      <c r="AK54" s="47"/>
      <c r="AL54" s="47"/>
      <c r="AM54" s="47"/>
      <c r="AN54" s="111" t="s">
        <v>99</v>
      </c>
      <c r="AO54" s="37" t="s">
        <v>2026</v>
      </c>
      <c r="AP54" s="37" t="s">
        <v>212</v>
      </c>
      <c r="AQ54" s="47" t="s">
        <v>2030</v>
      </c>
      <c r="AR54" s="47" t="s">
        <v>214</v>
      </c>
      <c r="AS54" s="47">
        <v>25</v>
      </c>
      <c r="AT54" s="47" t="s">
        <v>2031</v>
      </c>
      <c r="AU54" s="47" t="s">
        <v>2032</v>
      </c>
      <c r="AV54" s="47" t="s">
        <v>427</v>
      </c>
      <c r="AW54" s="111">
        <v>17603956863</v>
      </c>
      <c r="AX54" s="37" t="s">
        <v>604</v>
      </c>
      <c r="AY54" s="47">
        <v>1</v>
      </c>
      <c r="AZ54" s="122">
        <v>45413</v>
      </c>
      <c r="BA54" s="123">
        <v>45777</v>
      </c>
      <c r="BB54" s="47" t="s">
        <v>106</v>
      </c>
      <c r="BC54" s="47"/>
      <c r="BD54" s="47"/>
      <c r="BE54" s="123">
        <v>45688</v>
      </c>
      <c r="BF54" s="37"/>
      <c r="BG54" s="47"/>
      <c r="BH54" s="37" t="s">
        <v>2033</v>
      </c>
      <c r="BI54" s="37"/>
      <c r="BJ54" s="37"/>
      <c r="BK54" s="47"/>
      <c r="BL54" s="268" t="s">
        <v>2034</v>
      </c>
      <c r="BM54" s="47" t="s">
        <v>109</v>
      </c>
      <c r="BN54" s="37" t="s">
        <v>110</v>
      </c>
      <c r="BO54" s="47">
        <v>2023.5</v>
      </c>
      <c r="BP54" s="58"/>
      <c r="BQ54" s="37"/>
      <c r="BR54" s="47">
        <v>2023.5</v>
      </c>
      <c r="BS54" s="47" t="s">
        <v>111</v>
      </c>
      <c r="BT54" s="47">
        <v>537</v>
      </c>
      <c r="BU54" s="206" t="s">
        <v>353</v>
      </c>
      <c r="BV54" s="47"/>
      <c r="BW54" s="47"/>
      <c r="BX54" s="207">
        <v>45047</v>
      </c>
    </row>
    <row r="55" s="103" customFormat="1" ht="29" customHeight="1" spans="1:76">
      <c r="A55" s="7">
        <v>3</v>
      </c>
      <c r="B55" s="47" t="s">
        <v>1940</v>
      </c>
      <c r="C55" s="47" t="s">
        <v>2035</v>
      </c>
      <c r="D55" s="111" t="str">
        <f t="shared" si="8"/>
        <v>女</v>
      </c>
      <c r="E55" s="47" t="s">
        <v>1492</v>
      </c>
      <c r="F55" s="47" t="s">
        <v>144</v>
      </c>
      <c r="G55" s="47" t="s">
        <v>247</v>
      </c>
      <c r="H55" s="123">
        <v>45662</v>
      </c>
      <c r="I55" s="47">
        <v>13972917600</v>
      </c>
      <c r="J55" s="270" t="s">
        <v>2036</v>
      </c>
      <c r="K55" s="28" t="s">
        <v>116</v>
      </c>
      <c r="L55" s="58" t="s">
        <v>2037</v>
      </c>
      <c r="M55" s="47" t="s">
        <v>149</v>
      </c>
      <c r="N55" s="58" t="s">
        <v>2037</v>
      </c>
      <c r="O55" s="32" t="str">
        <f t="shared" si="11"/>
        <v>1972-08-22</v>
      </c>
      <c r="P55" s="34">
        <f ca="1" t="shared" si="9"/>
        <v>54</v>
      </c>
      <c r="Q55" s="47">
        <f ca="1" t="shared" si="10"/>
        <v>1</v>
      </c>
      <c r="R55" s="28" t="s">
        <v>88</v>
      </c>
      <c r="S55" s="47" t="s">
        <v>89</v>
      </c>
      <c r="T55" s="58" t="s">
        <v>90</v>
      </c>
      <c r="U55" s="47" t="s">
        <v>91</v>
      </c>
      <c r="V55" s="47" t="s">
        <v>92</v>
      </c>
      <c r="W55" s="47"/>
      <c r="X55" s="47"/>
      <c r="Y55" s="47"/>
      <c r="Z55" s="47"/>
      <c r="AA55" s="47"/>
      <c r="AB55" s="47"/>
      <c r="AC55" s="47"/>
      <c r="AD55" s="47"/>
      <c r="AE55" s="47"/>
      <c r="AF55" s="47"/>
      <c r="AG55" s="47"/>
      <c r="AH55" s="47"/>
      <c r="AI55" s="47"/>
      <c r="AJ55" s="47"/>
      <c r="AK55" s="47"/>
      <c r="AL55" s="47"/>
      <c r="AM55" s="47"/>
      <c r="AN55" s="47"/>
      <c r="AO55" s="37"/>
      <c r="AP55" s="47"/>
      <c r="AQ55" s="47"/>
      <c r="AR55" s="47"/>
      <c r="AS55" s="47"/>
      <c r="AT55" s="47"/>
      <c r="AU55" s="47"/>
      <c r="AV55" s="47"/>
      <c r="AW55" s="47"/>
      <c r="AX55" s="37"/>
      <c r="AY55" s="47"/>
      <c r="AZ55" s="123"/>
      <c r="BA55" s="123"/>
      <c r="BB55" s="47" t="s">
        <v>106</v>
      </c>
      <c r="BC55" s="47"/>
      <c r="BD55" s="47"/>
      <c r="BE55" s="123">
        <v>45670</v>
      </c>
      <c r="BF55" s="47"/>
      <c r="BG55" s="47"/>
      <c r="BH55" s="37"/>
      <c r="BI55" s="47"/>
      <c r="BJ55" s="47"/>
      <c r="BK55" s="47"/>
      <c r="BL55" s="269" t="s">
        <v>2038</v>
      </c>
      <c r="BM55" s="185"/>
      <c r="BN55" s="198"/>
      <c r="BO55" s="185"/>
      <c r="BP55" s="185"/>
      <c r="BQ55" s="185"/>
      <c r="BR55" s="185"/>
      <c r="BS55" s="47"/>
      <c r="BT55" s="47"/>
      <c r="BU55" s="63"/>
      <c r="BV55" s="47"/>
      <c r="BW55" s="47"/>
      <c r="BX55" s="123" t="s">
        <v>403</v>
      </c>
    </row>
    <row r="56" s="103" customFormat="1" ht="29" customHeight="1" spans="1:76">
      <c r="A56" s="7">
        <v>4</v>
      </c>
      <c r="B56" s="47" t="s">
        <v>1904</v>
      </c>
      <c r="C56" s="111" t="s">
        <v>2039</v>
      </c>
      <c r="D56" s="111" t="str">
        <f t="shared" si="8"/>
        <v>女</v>
      </c>
      <c r="E56" s="47" t="s">
        <v>1492</v>
      </c>
      <c r="F56" s="47" t="s">
        <v>144</v>
      </c>
      <c r="G56" s="58" t="s">
        <v>228</v>
      </c>
      <c r="H56" s="123">
        <v>45663</v>
      </c>
      <c r="I56" s="111">
        <v>13797914337</v>
      </c>
      <c r="J56" s="265" t="s">
        <v>2040</v>
      </c>
      <c r="K56" s="28" t="s">
        <v>116</v>
      </c>
      <c r="L56" s="58" t="s">
        <v>2041</v>
      </c>
      <c r="M56" s="47" t="s">
        <v>149</v>
      </c>
      <c r="N56" s="58" t="s">
        <v>2041</v>
      </c>
      <c r="O56" s="32" t="str">
        <f t="shared" si="11"/>
        <v>1996-12-08</v>
      </c>
      <c r="P56" s="34">
        <f ca="1" t="shared" si="9"/>
        <v>30</v>
      </c>
      <c r="Q56" s="47">
        <f ca="1" t="shared" si="10"/>
        <v>1</v>
      </c>
      <c r="R56" s="28" t="s">
        <v>88</v>
      </c>
      <c r="S56" s="47" t="s">
        <v>89</v>
      </c>
      <c r="T56" s="111" t="s">
        <v>90</v>
      </c>
      <c r="U56" s="47" t="s">
        <v>91</v>
      </c>
      <c r="V56" s="47" t="s">
        <v>92</v>
      </c>
      <c r="W56" s="47"/>
      <c r="X56" s="47"/>
      <c r="Y56" s="37"/>
      <c r="Z56" s="47"/>
      <c r="AA56" s="47"/>
      <c r="AB56" s="47"/>
      <c r="AC56" s="47"/>
      <c r="AD56" s="47"/>
      <c r="AE56" s="47"/>
      <c r="AF56" s="111"/>
      <c r="AG56" s="37"/>
      <c r="AH56" s="111"/>
      <c r="AI56" s="47"/>
      <c r="AJ56" s="47"/>
      <c r="AK56" s="47"/>
      <c r="AL56" s="47"/>
      <c r="AM56" s="47"/>
      <c r="AN56" s="111"/>
      <c r="AO56" s="37"/>
      <c r="AP56" s="37"/>
      <c r="AQ56" s="47"/>
      <c r="AR56" s="47"/>
      <c r="AS56" s="47"/>
      <c r="AT56" s="47"/>
      <c r="AU56" s="47"/>
      <c r="AV56" s="47"/>
      <c r="AW56" s="111"/>
      <c r="AX56" s="37"/>
      <c r="AY56" s="47"/>
      <c r="AZ56" s="122"/>
      <c r="BA56" s="123"/>
      <c r="BB56" s="47" t="s">
        <v>106</v>
      </c>
      <c r="BC56" s="47"/>
      <c r="BD56" s="47"/>
      <c r="BE56" s="123">
        <v>45665</v>
      </c>
      <c r="BF56" s="37"/>
      <c r="BG56" s="47"/>
      <c r="BH56" s="37"/>
      <c r="BI56" s="37"/>
      <c r="BJ56" s="37"/>
      <c r="BK56" s="47"/>
      <c r="BL56" s="275" t="s">
        <v>2042</v>
      </c>
      <c r="BM56" s="47"/>
      <c r="BN56" s="37"/>
      <c r="BO56" s="47"/>
      <c r="BP56" s="58"/>
      <c r="BQ56" s="37"/>
      <c r="BR56" s="47"/>
      <c r="BS56" s="47"/>
      <c r="BT56" s="47"/>
      <c r="BU56" s="206"/>
      <c r="BV56" s="47"/>
      <c r="BW56" s="47"/>
      <c r="BX56" s="207" t="s">
        <v>403</v>
      </c>
    </row>
    <row r="57" s="103" customFormat="1" ht="29" customHeight="1" spans="1:76">
      <c r="A57" s="7">
        <v>5</v>
      </c>
      <c r="B57" s="111" t="s">
        <v>2043</v>
      </c>
      <c r="C57" s="47" t="s">
        <v>2044</v>
      </c>
      <c r="D57" s="111" t="str">
        <f t="shared" si="8"/>
        <v>女</v>
      </c>
      <c r="E57" s="47" t="s">
        <v>81</v>
      </c>
      <c r="F57" s="47" t="s">
        <v>144</v>
      </c>
      <c r="G57" s="127" t="s">
        <v>2045</v>
      </c>
      <c r="H57" s="123">
        <v>45173</v>
      </c>
      <c r="I57" s="47">
        <v>19107277137</v>
      </c>
      <c r="J57" s="270" t="s">
        <v>2046</v>
      </c>
      <c r="K57" s="74" t="s">
        <v>116</v>
      </c>
      <c r="L57" s="58" t="s">
        <v>2047</v>
      </c>
      <c r="M57" s="47" t="s">
        <v>149</v>
      </c>
      <c r="N57" s="58" t="s">
        <v>2047</v>
      </c>
      <c r="O57" s="32" t="str">
        <f t="shared" si="11"/>
        <v>1986-10-12</v>
      </c>
      <c r="P57" s="34">
        <f ca="1" t="shared" si="9"/>
        <v>40</v>
      </c>
      <c r="Q57" s="47">
        <f ca="1" t="shared" si="10"/>
        <v>2</v>
      </c>
      <c r="R57" s="28" t="s">
        <v>88</v>
      </c>
      <c r="S57" s="47" t="s">
        <v>89</v>
      </c>
      <c r="T57" s="111" t="s">
        <v>90</v>
      </c>
      <c r="U57" s="47" t="s">
        <v>91</v>
      </c>
      <c r="V57" s="47" t="s">
        <v>92</v>
      </c>
      <c r="W57" s="47"/>
      <c r="X57" s="47"/>
      <c r="Y57" s="37" t="s">
        <v>2048</v>
      </c>
      <c r="Z57" s="47">
        <v>2023.4</v>
      </c>
      <c r="AA57" s="47">
        <v>2023.7</v>
      </c>
      <c r="AB57" s="47" t="s">
        <v>828</v>
      </c>
      <c r="AC57" s="47"/>
      <c r="AD57" s="47"/>
      <c r="AE57" s="47"/>
      <c r="AF57" s="111" t="s">
        <v>122</v>
      </c>
      <c r="AG57" s="37"/>
      <c r="AH57" s="37"/>
      <c r="AI57" s="47"/>
      <c r="AJ57" s="47"/>
      <c r="AK57" s="47"/>
      <c r="AL57" s="47"/>
      <c r="AM57" s="47"/>
      <c r="AN57" s="111" t="s">
        <v>99</v>
      </c>
      <c r="AO57" s="58" t="s">
        <v>2047</v>
      </c>
      <c r="AP57" s="37" t="s">
        <v>176</v>
      </c>
      <c r="AQ57" s="47" t="s">
        <v>2049</v>
      </c>
      <c r="AR57" s="47" t="s">
        <v>102</v>
      </c>
      <c r="AS57" s="47">
        <v>46</v>
      </c>
      <c r="AT57" s="47" t="s">
        <v>445</v>
      </c>
      <c r="AU57" s="47" t="s">
        <v>2050</v>
      </c>
      <c r="AV57" s="47" t="s">
        <v>347</v>
      </c>
      <c r="AW57" s="47">
        <v>13971850364</v>
      </c>
      <c r="AX57" s="37" t="s">
        <v>1627</v>
      </c>
      <c r="AY57" s="47">
        <v>1</v>
      </c>
      <c r="AZ57" s="180">
        <v>45173</v>
      </c>
      <c r="BA57" s="123">
        <v>45626</v>
      </c>
      <c r="BB57" s="47" t="s">
        <v>106</v>
      </c>
      <c r="BC57" s="47"/>
      <c r="BD57" s="47"/>
      <c r="BE57" s="123">
        <v>45688</v>
      </c>
      <c r="BF57" s="37"/>
      <c r="BG57" s="47">
        <v>714492366</v>
      </c>
      <c r="BH57" s="37" t="s">
        <v>2051</v>
      </c>
      <c r="BI57" s="37"/>
      <c r="BJ57" s="37"/>
      <c r="BK57" s="47"/>
      <c r="BL57" s="275" t="s">
        <v>2052</v>
      </c>
      <c r="BM57" s="47" t="s">
        <v>109</v>
      </c>
      <c r="BN57" s="37" t="s">
        <v>110</v>
      </c>
      <c r="BO57" s="47">
        <v>2023.12</v>
      </c>
      <c r="BP57" s="58"/>
      <c r="BQ57" s="37"/>
      <c r="BR57" s="47">
        <v>2023.12</v>
      </c>
      <c r="BS57" s="47" t="s">
        <v>111</v>
      </c>
      <c r="BT57" s="47"/>
      <c r="BU57" s="208" t="s">
        <v>594</v>
      </c>
      <c r="BV57" s="47"/>
      <c r="BW57" s="47"/>
      <c r="BX57" s="180">
        <v>45261</v>
      </c>
    </row>
    <row r="58" s="103" customFormat="1" ht="29" customHeight="1" spans="1:76">
      <c r="A58" s="7">
        <v>6</v>
      </c>
      <c r="B58" s="47" t="s">
        <v>2053</v>
      </c>
      <c r="C58" s="111" t="s">
        <v>2054</v>
      </c>
      <c r="D58" s="111" t="str">
        <f t="shared" si="8"/>
        <v>男</v>
      </c>
      <c r="E58" s="47" t="s">
        <v>81</v>
      </c>
      <c r="F58" s="47" t="s">
        <v>144</v>
      </c>
      <c r="G58" s="117" t="s">
        <v>2055</v>
      </c>
      <c r="H58" s="18">
        <v>45446</v>
      </c>
      <c r="I58" s="111">
        <v>13451217940</v>
      </c>
      <c r="J58" s="265" t="s">
        <v>2056</v>
      </c>
      <c r="K58" s="28" t="s">
        <v>116</v>
      </c>
      <c r="L58" s="58" t="s">
        <v>2057</v>
      </c>
      <c r="M58" s="47" t="s">
        <v>149</v>
      </c>
      <c r="N58" s="58" t="s">
        <v>2058</v>
      </c>
      <c r="O58" s="32" t="str">
        <f t="shared" si="11"/>
        <v>1973-06-25</v>
      </c>
      <c r="P58" s="34">
        <f ca="1" t="shared" si="9"/>
        <v>53</v>
      </c>
      <c r="Q58" s="47">
        <f ca="1" t="shared" si="10"/>
        <v>2</v>
      </c>
      <c r="R58" s="28" t="s">
        <v>88</v>
      </c>
      <c r="S58" s="47" t="s">
        <v>89</v>
      </c>
      <c r="T58" s="28" t="s">
        <v>90</v>
      </c>
      <c r="U58" s="47" t="s">
        <v>91</v>
      </c>
      <c r="V58" s="47" t="s">
        <v>92</v>
      </c>
      <c r="W58" s="47"/>
      <c r="X58" s="47"/>
      <c r="Y58" s="37" t="s">
        <v>2059</v>
      </c>
      <c r="Z58" s="47">
        <v>2024.2</v>
      </c>
      <c r="AA58" s="47">
        <v>2024.5</v>
      </c>
      <c r="AB58" s="47" t="s">
        <v>600</v>
      </c>
      <c r="AC58" s="47"/>
      <c r="AD58" s="47"/>
      <c r="AE58" s="47"/>
      <c r="AF58" s="28" t="s">
        <v>96</v>
      </c>
      <c r="AG58" s="37"/>
      <c r="AH58" s="28"/>
      <c r="AI58" s="47"/>
      <c r="AJ58" s="47"/>
      <c r="AK58" s="47"/>
      <c r="AL58" s="47"/>
      <c r="AM58" s="47"/>
      <c r="AN58" s="111" t="s">
        <v>99</v>
      </c>
      <c r="AO58" s="58" t="s">
        <v>2058</v>
      </c>
      <c r="AP58" s="47" t="s">
        <v>212</v>
      </c>
      <c r="AQ58" s="47" t="s">
        <v>2060</v>
      </c>
      <c r="AR58" s="47" t="s">
        <v>214</v>
      </c>
      <c r="AS58" s="47"/>
      <c r="AT58" s="47" t="s">
        <v>445</v>
      </c>
      <c r="AU58" s="47" t="s">
        <v>2060</v>
      </c>
      <c r="AV58" s="47" t="s">
        <v>104</v>
      </c>
      <c r="AW58" s="28">
        <v>15827839863</v>
      </c>
      <c r="AX58" s="175" t="s">
        <v>639</v>
      </c>
      <c r="AY58" s="47">
        <v>0</v>
      </c>
      <c r="AZ58" s="122">
        <v>45536</v>
      </c>
      <c r="BA58" s="123">
        <v>45900</v>
      </c>
      <c r="BB58" s="47" t="s">
        <v>106</v>
      </c>
      <c r="BC58" s="47"/>
      <c r="BD58" s="47"/>
      <c r="BE58" s="123">
        <v>45695</v>
      </c>
      <c r="BF58" s="37"/>
      <c r="BG58" s="47"/>
      <c r="BH58" s="37"/>
      <c r="BI58" s="37"/>
      <c r="BJ58" s="37"/>
      <c r="BK58" s="47"/>
      <c r="BL58" s="275" t="s">
        <v>2061</v>
      </c>
      <c r="BM58" s="47" t="s">
        <v>109</v>
      </c>
      <c r="BN58" s="37" t="s">
        <v>110</v>
      </c>
      <c r="BO58" s="197">
        <v>2024.9</v>
      </c>
      <c r="BP58" s="58"/>
      <c r="BQ58" s="37"/>
      <c r="BR58" s="197">
        <v>2024.9</v>
      </c>
      <c r="BS58" s="47" t="s">
        <v>111</v>
      </c>
      <c r="BT58" s="47"/>
      <c r="BU58" s="208" t="s">
        <v>219</v>
      </c>
      <c r="BV58" s="47"/>
      <c r="BW58" s="47"/>
      <c r="BX58" s="207">
        <v>45536</v>
      </c>
    </row>
    <row r="59" s="103" customFormat="1" ht="29" customHeight="1" spans="1:76">
      <c r="A59" s="7">
        <v>7</v>
      </c>
      <c r="B59" s="47" t="s">
        <v>2062</v>
      </c>
      <c r="C59" s="111" t="s">
        <v>2063</v>
      </c>
      <c r="D59" s="111" t="str">
        <f t="shared" si="8"/>
        <v>女</v>
      </c>
      <c r="E59" s="9" t="s">
        <v>1492</v>
      </c>
      <c r="F59" s="47" t="s">
        <v>144</v>
      </c>
      <c r="G59" s="117" t="s">
        <v>2064</v>
      </c>
      <c r="H59" s="18">
        <v>45677</v>
      </c>
      <c r="I59" s="111">
        <v>13139361707</v>
      </c>
      <c r="J59" s="27" t="s">
        <v>2065</v>
      </c>
      <c r="K59" s="28" t="s">
        <v>2066</v>
      </c>
      <c r="L59" s="28" t="s">
        <v>2067</v>
      </c>
      <c r="M59" s="47" t="s">
        <v>149</v>
      </c>
      <c r="N59" s="28" t="s">
        <v>2067</v>
      </c>
      <c r="O59" s="32" t="str">
        <f t="shared" si="11"/>
        <v>2000-04-19</v>
      </c>
      <c r="P59" s="34">
        <f ca="1" t="shared" si="9"/>
        <v>26</v>
      </c>
      <c r="Q59" s="47">
        <f ca="1" t="shared" si="10"/>
        <v>1</v>
      </c>
      <c r="R59" s="28" t="s">
        <v>88</v>
      </c>
      <c r="S59" s="47" t="s">
        <v>89</v>
      </c>
      <c r="T59" s="28" t="s">
        <v>1286</v>
      </c>
      <c r="U59" s="47" t="s">
        <v>91</v>
      </c>
      <c r="V59" s="47" t="s">
        <v>92</v>
      </c>
      <c r="W59" s="47"/>
      <c r="X59" s="47"/>
      <c r="Y59" s="47"/>
      <c r="Z59" s="47"/>
      <c r="AA59" s="47"/>
      <c r="AB59" s="47"/>
      <c r="AC59" s="47"/>
      <c r="AD59" s="47"/>
      <c r="AE59" s="47"/>
      <c r="AF59" s="154"/>
      <c r="AG59" s="37"/>
      <c r="AH59" s="158"/>
      <c r="AI59" s="47"/>
      <c r="AJ59" s="47"/>
      <c r="AK59" s="47"/>
      <c r="AL59" s="47"/>
      <c r="AM59" s="47"/>
      <c r="AN59" s="111"/>
      <c r="AO59" s="37"/>
      <c r="AP59" s="37"/>
      <c r="AQ59" s="47"/>
      <c r="AR59" s="47"/>
      <c r="AS59" s="47"/>
      <c r="AT59" s="47" t="s">
        <v>445</v>
      </c>
      <c r="AU59" s="47" t="s">
        <v>2068</v>
      </c>
      <c r="AV59" s="47" t="s">
        <v>350</v>
      </c>
      <c r="AW59" s="28">
        <v>13139361707</v>
      </c>
      <c r="AX59" s="37" t="s">
        <v>2069</v>
      </c>
      <c r="AY59" s="47">
        <v>1</v>
      </c>
      <c r="AZ59" s="50">
        <v>45689</v>
      </c>
      <c r="BA59" s="123">
        <v>46053</v>
      </c>
      <c r="BB59" s="47" t="s">
        <v>56</v>
      </c>
      <c r="BC59" s="47"/>
      <c r="BD59" s="47"/>
      <c r="BE59" s="189">
        <v>45688</v>
      </c>
      <c r="BF59" s="37"/>
      <c r="BG59" s="47"/>
      <c r="BH59" s="37"/>
      <c r="BI59" s="37"/>
      <c r="BJ59" s="37"/>
      <c r="BK59" s="47"/>
      <c r="BL59" s="58"/>
      <c r="BM59" s="47"/>
      <c r="BN59" s="47"/>
      <c r="BO59" s="47"/>
      <c r="BP59" s="58"/>
      <c r="BQ59" s="37"/>
      <c r="BR59" s="47"/>
      <c r="BS59" s="47"/>
      <c r="BT59" s="47"/>
      <c r="BU59" s="208"/>
      <c r="BV59" s="47"/>
      <c r="BW59" s="47"/>
      <c r="BX59" s="200" t="s">
        <v>2070</v>
      </c>
    </row>
    <row r="60" s="101" customFormat="1" ht="29" customHeight="1" spans="1:76">
      <c r="A60" s="7">
        <v>8</v>
      </c>
      <c r="B60" s="47" t="s">
        <v>1311</v>
      </c>
      <c r="C60" s="47" t="s">
        <v>1635</v>
      </c>
      <c r="D60" s="8" t="str">
        <f t="shared" si="8"/>
        <v>女</v>
      </c>
      <c r="E60" s="9" t="s">
        <v>1492</v>
      </c>
      <c r="F60" s="9" t="s">
        <v>144</v>
      </c>
      <c r="G60" s="8" t="s">
        <v>1493</v>
      </c>
      <c r="H60" s="24">
        <v>45505</v>
      </c>
      <c r="I60" s="9">
        <v>15872931685</v>
      </c>
      <c r="J60" s="47" t="s">
        <v>1636</v>
      </c>
      <c r="K60" s="74" t="s">
        <v>224</v>
      </c>
      <c r="L60" s="136" t="s">
        <v>1637</v>
      </c>
      <c r="M60" s="9" t="s">
        <v>87</v>
      </c>
      <c r="N60" s="136" t="s">
        <v>1637</v>
      </c>
      <c r="O60" s="32" t="str">
        <f t="shared" si="11"/>
        <v>1971-09-21</v>
      </c>
      <c r="P60" s="34">
        <f ca="1" t="shared" si="9"/>
        <v>55</v>
      </c>
      <c r="Q60" s="9">
        <f ca="1" t="shared" si="10"/>
        <v>1</v>
      </c>
      <c r="R60" s="28" t="s">
        <v>88</v>
      </c>
      <c r="S60" s="9" t="s">
        <v>245</v>
      </c>
      <c r="T60" s="8" t="s">
        <v>90</v>
      </c>
      <c r="U60" s="9" t="s">
        <v>91</v>
      </c>
      <c r="V60" s="9" t="s">
        <v>92</v>
      </c>
      <c r="W60" s="9"/>
      <c r="X60" s="9"/>
      <c r="Y60" s="47" t="s">
        <v>2071</v>
      </c>
      <c r="Z60" s="9">
        <v>2023.9</v>
      </c>
      <c r="AA60" s="9">
        <v>2024.2</v>
      </c>
      <c r="AB60" s="9" t="s">
        <v>843</v>
      </c>
      <c r="AC60" s="9"/>
      <c r="AD60" s="9"/>
      <c r="AE60" s="9"/>
      <c r="AF60" s="8" t="s">
        <v>122</v>
      </c>
      <c r="AG60" s="49"/>
      <c r="AH60" s="49"/>
      <c r="AI60" s="9"/>
      <c r="AJ60" s="9"/>
      <c r="AK60" s="9"/>
      <c r="AL60" s="9"/>
      <c r="AM60" s="45"/>
      <c r="AN60" s="46" t="s">
        <v>99</v>
      </c>
      <c r="AO60" s="17" t="s">
        <v>109</v>
      </c>
      <c r="AP60" s="49" t="s">
        <v>176</v>
      </c>
      <c r="AQ60" s="9" t="s">
        <v>1640</v>
      </c>
      <c r="AR60" s="9" t="s">
        <v>102</v>
      </c>
      <c r="AS60" s="9">
        <v>53</v>
      </c>
      <c r="AT60" s="9" t="s">
        <v>178</v>
      </c>
      <c r="AU60" s="9" t="s">
        <v>1640</v>
      </c>
      <c r="AV60" s="9" t="s">
        <v>104</v>
      </c>
      <c r="AW60" s="9">
        <v>15827846941</v>
      </c>
      <c r="AX60" s="49" t="s">
        <v>216</v>
      </c>
      <c r="AY60" s="9">
        <v>0</v>
      </c>
      <c r="AZ60" s="123">
        <v>45505</v>
      </c>
      <c r="BA60" s="186">
        <v>45504</v>
      </c>
      <c r="BB60" s="9" t="s">
        <v>106</v>
      </c>
      <c r="BC60" s="47"/>
      <c r="BD60" s="53"/>
      <c r="BE60" s="190">
        <v>45699</v>
      </c>
      <c r="BF60" s="188"/>
      <c r="BG60" s="53"/>
      <c r="BH60" s="49"/>
      <c r="BI60" s="49"/>
      <c r="BJ60" s="49"/>
      <c r="BK60" s="47"/>
      <c r="BL60" s="284" t="s">
        <v>1641</v>
      </c>
      <c r="BM60" s="9"/>
      <c r="BN60" s="9"/>
      <c r="BO60" s="9"/>
      <c r="BP60" s="58"/>
      <c r="BQ60" s="49"/>
      <c r="BR60" s="9"/>
      <c r="BS60" s="9" t="s">
        <v>253</v>
      </c>
      <c r="BT60" s="9"/>
      <c r="BU60" s="204" t="s">
        <v>2072</v>
      </c>
      <c r="BV60" s="47"/>
      <c r="BW60" s="47"/>
      <c r="BX60" s="180">
        <v>45505</v>
      </c>
    </row>
    <row r="61" s="103" customFormat="1" ht="29" customHeight="1" spans="1:76">
      <c r="A61" s="7">
        <v>9</v>
      </c>
      <c r="B61" s="47" t="s">
        <v>2073</v>
      </c>
      <c r="C61" s="111" t="s">
        <v>2074</v>
      </c>
      <c r="D61" s="111" t="str">
        <f t="shared" si="8"/>
        <v>男</v>
      </c>
      <c r="E61" s="47" t="s">
        <v>644</v>
      </c>
      <c r="F61" s="47" t="s">
        <v>144</v>
      </c>
      <c r="G61" s="117" t="s">
        <v>499</v>
      </c>
      <c r="H61" s="18">
        <v>43164</v>
      </c>
      <c r="I61" s="130">
        <v>18207269479</v>
      </c>
      <c r="J61" s="27" t="s">
        <v>2075</v>
      </c>
      <c r="K61" s="28" t="s">
        <v>85</v>
      </c>
      <c r="L61" s="28" t="s">
        <v>2076</v>
      </c>
      <c r="M61" s="47" t="s">
        <v>149</v>
      </c>
      <c r="N61" s="28" t="s">
        <v>983</v>
      </c>
      <c r="O61" s="32" t="str">
        <f t="shared" si="11"/>
        <v>1987-03-01</v>
      </c>
      <c r="P61" s="34">
        <f ca="1" t="shared" si="9"/>
        <v>39</v>
      </c>
      <c r="Q61" s="47">
        <f ca="1" t="shared" si="10"/>
        <v>8</v>
      </c>
      <c r="R61" s="28" t="s">
        <v>88</v>
      </c>
      <c r="S61" s="47" t="s">
        <v>89</v>
      </c>
      <c r="T61" s="28" t="s">
        <v>90</v>
      </c>
      <c r="U61" s="47" t="s">
        <v>91</v>
      </c>
      <c r="V61" s="47" t="s">
        <v>92</v>
      </c>
      <c r="W61" s="47"/>
      <c r="X61" s="47"/>
      <c r="Y61" s="37" t="s">
        <v>2077</v>
      </c>
      <c r="Z61" s="47">
        <v>2014.2</v>
      </c>
      <c r="AA61" s="47">
        <v>2018.1</v>
      </c>
      <c r="AB61" s="47" t="s">
        <v>856</v>
      </c>
      <c r="AC61" s="47"/>
      <c r="AD61" s="47"/>
      <c r="AE61" s="47"/>
      <c r="AF61" s="111" t="s">
        <v>96</v>
      </c>
      <c r="AG61" s="37" t="s">
        <v>587</v>
      </c>
      <c r="AH61" s="28" t="s">
        <v>739</v>
      </c>
      <c r="AI61" s="47">
        <v>2003.9</v>
      </c>
      <c r="AJ61" s="47">
        <v>2006.6</v>
      </c>
      <c r="AK61" s="47"/>
      <c r="AL61" s="47" t="s">
        <v>770</v>
      </c>
      <c r="AM61" s="47"/>
      <c r="AN61" s="111" t="s">
        <v>99</v>
      </c>
      <c r="AO61" s="28" t="s">
        <v>983</v>
      </c>
      <c r="AP61" s="37" t="s">
        <v>100</v>
      </c>
      <c r="AQ61" s="47" t="s">
        <v>2078</v>
      </c>
      <c r="AR61" s="47" t="s">
        <v>102</v>
      </c>
      <c r="AS61" s="47"/>
      <c r="AT61" s="47"/>
      <c r="AU61" s="47" t="s">
        <v>2079</v>
      </c>
      <c r="AV61" s="47" t="s">
        <v>104</v>
      </c>
      <c r="AW61" s="28">
        <v>17606774558</v>
      </c>
      <c r="AX61" s="37" t="s">
        <v>672</v>
      </c>
      <c r="AY61" s="47">
        <v>4</v>
      </c>
      <c r="AZ61" s="50">
        <v>43255</v>
      </c>
      <c r="BA61" s="123">
        <v>45812</v>
      </c>
      <c r="BB61" s="47" t="s">
        <v>106</v>
      </c>
      <c r="BC61" s="47"/>
      <c r="BD61" s="47"/>
      <c r="BE61" s="189">
        <v>45716</v>
      </c>
      <c r="BF61" s="37"/>
      <c r="BG61" s="47"/>
      <c r="BH61" s="37" t="s">
        <v>2080</v>
      </c>
      <c r="BI61" s="37"/>
      <c r="BJ61" s="37"/>
      <c r="BK61" s="47"/>
      <c r="BL61" s="275" t="s">
        <v>2081</v>
      </c>
      <c r="BM61" s="47" t="s">
        <v>109</v>
      </c>
      <c r="BN61" s="37" t="s">
        <v>110</v>
      </c>
      <c r="BO61" s="47">
        <v>2018.6</v>
      </c>
      <c r="BP61" s="58"/>
      <c r="BQ61" s="37"/>
      <c r="BR61" s="47">
        <v>2024.5</v>
      </c>
      <c r="BS61" s="47" t="s">
        <v>111</v>
      </c>
      <c r="BT61" s="47"/>
      <c r="BU61" s="208" t="s">
        <v>164</v>
      </c>
      <c r="BV61" s="47"/>
      <c r="BW61" s="47"/>
      <c r="BX61" s="200">
        <v>43255</v>
      </c>
    </row>
    <row r="62" ht="29" customHeight="1" spans="1:76">
      <c r="A62" s="7">
        <v>10</v>
      </c>
      <c r="B62" s="47" t="s">
        <v>2082</v>
      </c>
      <c r="C62" s="111" t="s">
        <v>2083</v>
      </c>
      <c r="D62" s="111" t="s">
        <v>214</v>
      </c>
      <c r="E62" s="128" t="s">
        <v>81</v>
      </c>
      <c r="F62" s="47" t="s">
        <v>144</v>
      </c>
      <c r="G62" s="117" t="s">
        <v>121</v>
      </c>
      <c r="H62" s="128" t="s">
        <v>2084</v>
      </c>
      <c r="I62" s="130">
        <v>18727666816</v>
      </c>
      <c r="J62" s="285" t="s">
        <v>2085</v>
      </c>
      <c r="K62" s="28" t="s">
        <v>85</v>
      </c>
      <c r="L62" s="141" t="s">
        <v>771</v>
      </c>
      <c r="M62" s="47" t="s">
        <v>149</v>
      </c>
      <c r="N62" s="141" t="s">
        <v>771</v>
      </c>
      <c r="O62" s="32" t="s">
        <v>2086</v>
      </c>
      <c r="P62" s="62"/>
      <c r="Q62" s="62"/>
      <c r="R62" s="62" t="s">
        <v>88</v>
      </c>
      <c r="S62" s="47" t="s">
        <v>89</v>
      </c>
      <c r="T62" s="28" t="s">
        <v>90</v>
      </c>
      <c r="U62" s="47" t="s">
        <v>91</v>
      </c>
      <c r="V62" s="47" t="s">
        <v>92</v>
      </c>
      <c r="W62" s="62"/>
      <c r="X62" s="62"/>
      <c r="Y62" s="141" t="s">
        <v>2087</v>
      </c>
      <c r="Z62" s="62"/>
      <c r="AA62" s="62"/>
      <c r="AB62" s="62"/>
      <c r="AC62" s="62"/>
      <c r="AD62" s="62"/>
      <c r="AE62" s="62"/>
      <c r="AF62" s="62"/>
      <c r="AG62" s="62"/>
      <c r="AH62" s="62"/>
      <c r="AI62" s="62"/>
      <c r="AJ62" s="62"/>
      <c r="AK62" s="62"/>
      <c r="AL62" s="62"/>
      <c r="AM62" s="62"/>
      <c r="AN62" s="111" t="s">
        <v>99</v>
      </c>
      <c r="AO62" s="141" t="s">
        <v>771</v>
      </c>
      <c r="AP62" s="7" t="s">
        <v>2088</v>
      </c>
      <c r="AQ62" s="7" t="s">
        <v>176</v>
      </c>
      <c r="AR62" s="7" t="s">
        <v>102</v>
      </c>
      <c r="AS62" s="62"/>
      <c r="AT62" s="7" t="s">
        <v>178</v>
      </c>
      <c r="AU62" s="7" t="s">
        <v>2088</v>
      </c>
      <c r="AV62" s="7" t="s">
        <v>176</v>
      </c>
      <c r="AW62" s="28">
        <v>19871509962</v>
      </c>
      <c r="AX62" s="181"/>
      <c r="AY62" s="62"/>
      <c r="AZ62" s="62"/>
      <c r="BA62" s="62"/>
      <c r="BB62" s="7" t="s">
        <v>128</v>
      </c>
      <c r="BC62" s="62"/>
      <c r="BD62" s="62"/>
      <c r="BE62" s="191">
        <v>45709</v>
      </c>
      <c r="BF62" s="62"/>
      <c r="BG62" s="62"/>
      <c r="BH62" s="58" t="s">
        <v>2089</v>
      </c>
      <c r="BI62" s="62"/>
      <c r="BJ62" s="62"/>
      <c r="BK62" s="62"/>
      <c r="BL62" s="58"/>
      <c r="BM62" s="62"/>
      <c r="BN62" s="62"/>
      <c r="BO62" s="62"/>
      <c r="BP62" s="62"/>
      <c r="BQ62" s="62"/>
      <c r="BR62" s="47">
        <v>2024.5</v>
      </c>
      <c r="BS62" s="47" t="s">
        <v>111</v>
      </c>
      <c r="BT62" s="62"/>
      <c r="BU62" s="7">
        <v>2024</v>
      </c>
      <c r="BV62" s="62"/>
      <c r="BW62" s="62"/>
      <c r="BX62" s="7" t="s">
        <v>2090</v>
      </c>
    </row>
    <row r="63" s="104" customFormat="1" ht="29" customHeight="1" spans="1:76">
      <c r="A63" s="7">
        <v>11</v>
      </c>
      <c r="B63" s="47" t="s">
        <v>2091</v>
      </c>
      <c r="C63" s="111" t="s">
        <v>2092</v>
      </c>
      <c r="D63" s="111" t="str">
        <f t="shared" ref="D63:D66" si="12">IF(MOD(MID(J63,17,1),2)=1,"男","女")</f>
        <v>女</v>
      </c>
      <c r="E63" s="9" t="s">
        <v>1492</v>
      </c>
      <c r="F63" s="9" t="s">
        <v>144</v>
      </c>
      <c r="G63" s="117" t="s">
        <v>247</v>
      </c>
      <c r="H63" s="18">
        <v>45672</v>
      </c>
      <c r="I63" s="111">
        <v>15586198266</v>
      </c>
      <c r="J63" s="27" t="s">
        <v>2093</v>
      </c>
      <c r="K63" s="134" t="s">
        <v>85</v>
      </c>
      <c r="L63" s="28" t="s">
        <v>2094</v>
      </c>
      <c r="M63" s="47" t="s">
        <v>149</v>
      </c>
      <c r="N63" s="28" t="s">
        <v>2094</v>
      </c>
      <c r="O63" s="32" t="str">
        <f t="shared" ref="O63:O66" si="13">TEXT(MID(J63,7,8),"0-00-00")</f>
        <v>1987-03-14</v>
      </c>
      <c r="P63" s="34">
        <f ca="1" t="shared" ref="P63:P66" si="14">YEAR(TODAY())-MID(J63,7,4)</f>
        <v>39</v>
      </c>
      <c r="Q63" s="47">
        <f ca="1" t="shared" ref="Q63:Q66" si="15">IF(H63="","",DATEDIF(H63,TODAY(),"Y"))</f>
        <v>1</v>
      </c>
      <c r="R63" s="28" t="s">
        <v>88</v>
      </c>
      <c r="S63" s="47" t="s">
        <v>245</v>
      </c>
      <c r="T63" s="28" t="s">
        <v>90</v>
      </c>
      <c r="U63" s="47" t="s">
        <v>91</v>
      </c>
      <c r="V63" s="47" t="s">
        <v>92</v>
      </c>
      <c r="W63" s="47"/>
      <c r="X63" s="47"/>
      <c r="Y63" s="47"/>
      <c r="Z63" s="47"/>
      <c r="AA63" s="47"/>
      <c r="AB63" s="47"/>
      <c r="AC63" s="47"/>
      <c r="AD63" s="47"/>
      <c r="AE63" s="47"/>
      <c r="AF63" s="154" t="s">
        <v>122</v>
      </c>
      <c r="AG63" s="37"/>
      <c r="AH63" s="158"/>
      <c r="AI63" s="47"/>
      <c r="AJ63" s="47"/>
      <c r="AK63" s="47"/>
      <c r="AL63" s="47"/>
      <c r="AM63" s="47"/>
      <c r="AN63" s="111"/>
      <c r="AO63" s="28" t="s">
        <v>2094</v>
      </c>
      <c r="AP63" s="9"/>
      <c r="AQ63" s="103"/>
      <c r="AR63" s="47"/>
      <c r="AS63" s="47"/>
      <c r="AT63" s="47"/>
      <c r="AU63" s="47" t="s">
        <v>2095</v>
      </c>
      <c r="AV63" s="47" t="s">
        <v>104</v>
      </c>
      <c r="AW63" s="28">
        <v>15327501675</v>
      </c>
      <c r="AX63" s="37" t="s">
        <v>2096</v>
      </c>
      <c r="AY63" s="47">
        <v>1</v>
      </c>
      <c r="AZ63" s="50">
        <v>45672</v>
      </c>
      <c r="BA63" s="123">
        <v>46036</v>
      </c>
      <c r="BB63" s="47" t="s">
        <v>106</v>
      </c>
      <c r="BC63" s="47"/>
      <c r="BD63" s="47"/>
      <c r="BE63" s="189">
        <v>45707</v>
      </c>
      <c r="BF63" s="37"/>
      <c r="BG63" s="47"/>
      <c r="BH63" s="37"/>
      <c r="BI63" s="37"/>
      <c r="BJ63" s="37"/>
      <c r="BK63" s="47"/>
      <c r="BL63" s="275" t="s">
        <v>2038</v>
      </c>
      <c r="BM63" s="47"/>
      <c r="BN63" s="47"/>
      <c r="BO63" s="47"/>
      <c r="BP63" s="58"/>
      <c r="BQ63" s="37"/>
      <c r="BR63" s="47"/>
      <c r="BS63" s="47" t="s">
        <v>253</v>
      </c>
      <c r="BT63" s="47"/>
      <c r="BU63" s="206"/>
      <c r="BV63" s="47"/>
      <c r="BW63" s="47"/>
      <c r="BX63" s="200"/>
    </row>
    <row r="64" s="104" customFormat="1" ht="29" customHeight="1" spans="1:76">
      <c r="A64" s="7">
        <v>12</v>
      </c>
      <c r="B64" s="47" t="s">
        <v>1828</v>
      </c>
      <c r="C64" s="47" t="s">
        <v>2097</v>
      </c>
      <c r="D64" s="111" t="s">
        <v>102</v>
      </c>
      <c r="E64" s="47" t="s">
        <v>81</v>
      </c>
      <c r="F64" s="47" t="s">
        <v>144</v>
      </c>
      <c r="G64" s="47" t="s">
        <v>121</v>
      </c>
      <c r="H64" s="123">
        <v>45708</v>
      </c>
      <c r="I64" s="47">
        <v>18008696717</v>
      </c>
      <c r="J64" s="270" t="s">
        <v>2098</v>
      </c>
      <c r="K64" s="47" t="s">
        <v>224</v>
      </c>
      <c r="L64" s="37" t="s">
        <v>1412</v>
      </c>
      <c r="M64" s="47" t="s">
        <v>149</v>
      </c>
      <c r="N64" s="37" t="s">
        <v>2099</v>
      </c>
      <c r="O64" s="32" t="s">
        <v>2100</v>
      </c>
      <c r="P64" s="34">
        <v>44</v>
      </c>
      <c r="Q64" s="47">
        <v>5</v>
      </c>
      <c r="R64" s="47" t="s">
        <v>88</v>
      </c>
      <c r="S64" s="47" t="s">
        <v>245</v>
      </c>
      <c r="T64" s="47" t="s">
        <v>90</v>
      </c>
      <c r="U64" s="47" t="s">
        <v>91</v>
      </c>
      <c r="V64" s="47" t="s">
        <v>92</v>
      </c>
      <c r="W64" s="47"/>
      <c r="X64" s="47"/>
      <c r="Y64" s="47" t="s">
        <v>274</v>
      </c>
      <c r="Z64" s="47" t="s">
        <v>2101</v>
      </c>
      <c r="AA64" s="149" t="s">
        <v>2102</v>
      </c>
      <c r="AB64" s="47" t="s">
        <v>274</v>
      </c>
      <c r="AC64" s="47"/>
      <c r="AD64" s="47"/>
      <c r="AE64" s="47"/>
      <c r="AF64" s="47" t="s">
        <v>122</v>
      </c>
      <c r="AG64" s="47"/>
      <c r="AH64" s="47"/>
      <c r="AI64" s="47"/>
      <c r="AJ64" s="47"/>
      <c r="AK64" s="47"/>
      <c r="AL64" s="47"/>
      <c r="AM64" s="47"/>
      <c r="AN64" s="47" t="s">
        <v>99</v>
      </c>
      <c r="AO64" s="37" t="s">
        <v>2099</v>
      </c>
      <c r="AP64" s="47" t="s">
        <v>100</v>
      </c>
      <c r="AQ64" s="47" t="s">
        <v>2103</v>
      </c>
      <c r="AR64" s="47" t="s">
        <v>102</v>
      </c>
      <c r="AS64" s="47"/>
      <c r="AT64" s="47" t="s">
        <v>1130</v>
      </c>
      <c r="AU64" s="47" t="s">
        <v>2103</v>
      </c>
      <c r="AV64" s="47" t="s">
        <v>100</v>
      </c>
      <c r="AW64" s="47">
        <v>18008696717</v>
      </c>
      <c r="AX64" s="37" t="s">
        <v>271</v>
      </c>
      <c r="AY64" s="47">
        <v>1</v>
      </c>
      <c r="AZ64" s="123">
        <v>45708</v>
      </c>
      <c r="BA64" s="123">
        <v>46072</v>
      </c>
      <c r="BB64" s="47" t="s">
        <v>106</v>
      </c>
      <c r="BC64" s="47"/>
      <c r="BD64" s="47"/>
      <c r="BE64" s="189">
        <v>45719</v>
      </c>
      <c r="BF64" s="47"/>
      <c r="BG64" s="47"/>
      <c r="BH64" s="37" t="s">
        <v>2104</v>
      </c>
      <c r="BI64" s="47"/>
      <c r="BJ64" s="47"/>
      <c r="BK64" s="47"/>
      <c r="BL64" s="275" t="s">
        <v>2105</v>
      </c>
      <c r="BM64" s="47" t="s">
        <v>109</v>
      </c>
      <c r="BN64" s="37" t="s">
        <v>110</v>
      </c>
      <c r="BO64" s="47"/>
      <c r="BP64" s="47"/>
      <c r="BQ64" s="47"/>
      <c r="BR64" s="47"/>
      <c r="BS64" s="47" t="s">
        <v>111</v>
      </c>
      <c r="BT64" s="47"/>
      <c r="BU64" s="63" t="s">
        <v>275</v>
      </c>
      <c r="BV64" s="47"/>
      <c r="BW64" s="47"/>
      <c r="BX64" s="211" t="s">
        <v>2106</v>
      </c>
    </row>
    <row r="65" s="104" customFormat="1" ht="29" customHeight="1" spans="1:76">
      <c r="A65" s="7">
        <v>13</v>
      </c>
      <c r="B65" s="47" t="s">
        <v>2107</v>
      </c>
      <c r="C65" s="58" t="s">
        <v>2108</v>
      </c>
      <c r="D65" s="111" t="str">
        <f t="shared" si="12"/>
        <v>女</v>
      </c>
      <c r="E65" s="47" t="s">
        <v>278</v>
      </c>
      <c r="F65" s="47" t="s">
        <v>144</v>
      </c>
      <c r="G65" s="116" t="s">
        <v>2109</v>
      </c>
      <c r="H65" s="18">
        <v>42309</v>
      </c>
      <c r="I65" s="130">
        <v>13093215762</v>
      </c>
      <c r="J65" s="27" t="s">
        <v>2110</v>
      </c>
      <c r="K65" s="28" t="s">
        <v>1283</v>
      </c>
      <c r="L65" s="28" t="s">
        <v>2111</v>
      </c>
      <c r="M65" s="47" t="s">
        <v>282</v>
      </c>
      <c r="N65" s="28" t="s">
        <v>2112</v>
      </c>
      <c r="O65" s="32" t="str">
        <f t="shared" si="13"/>
        <v>1964-11-21</v>
      </c>
      <c r="P65" s="34">
        <f ca="1" t="shared" si="14"/>
        <v>62</v>
      </c>
      <c r="Q65" s="47">
        <f ca="1" t="shared" si="15"/>
        <v>10</v>
      </c>
      <c r="R65" s="28" t="s">
        <v>88</v>
      </c>
      <c r="S65" s="47" t="s">
        <v>245</v>
      </c>
      <c r="T65" s="58" t="s">
        <v>150</v>
      </c>
      <c r="U65" s="47" t="s">
        <v>91</v>
      </c>
      <c r="V65" s="47" t="s">
        <v>92</v>
      </c>
      <c r="W65" s="47" t="s">
        <v>151</v>
      </c>
      <c r="X65" s="47"/>
      <c r="Y65" s="37" t="s">
        <v>227</v>
      </c>
      <c r="Z65" s="47"/>
      <c r="AA65" s="47"/>
      <c r="AB65" s="47" t="s">
        <v>284</v>
      </c>
      <c r="AC65" s="47"/>
      <c r="AD65" s="47"/>
      <c r="AE65" s="47"/>
      <c r="AF65" s="28" t="s">
        <v>406</v>
      </c>
      <c r="AG65" s="37" t="s">
        <v>2113</v>
      </c>
      <c r="AH65" s="28" t="s">
        <v>298</v>
      </c>
      <c r="AI65" s="47"/>
      <c r="AJ65" s="47"/>
      <c r="AK65" s="47" t="s">
        <v>2114</v>
      </c>
      <c r="AL65" s="47"/>
      <c r="AM65" s="47"/>
      <c r="AN65" s="111" t="s">
        <v>99</v>
      </c>
      <c r="AO65" s="28" t="s">
        <v>2111</v>
      </c>
      <c r="AP65" s="37" t="s">
        <v>176</v>
      </c>
      <c r="AQ65" s="47" t="s">
        <v>2115</v>
      </c>
      <c r="AR65" s="47" t="s">
        <v>102</v>
      </c>
      <c r="AS65" s="47">
        <v>61</v>
      </c>
      <c r="AT65" s="47" t="s">
        <v>159</v>
      </c>
      <c r="AU65" s="47" t="s">
        <v>2115</v>
      </c>
      <c r="AV65" s="47" t="s">
        <v>104</v>
      </c>
      <c r="AW65" s="58">
        <v>13114497153</v>
      </c>
      <c r="AX65" s="37" t="s">
        <v>561</v>
      </c>
      <c r="AY65" s="47">
        <v>9</v>
      </c>
      <c r="AZ65" s="50">
        <v>42309</v>
      </c>
      <c r="BA65" s="123">
        <v>45930</v>
      </c>
      <c r="BB65" s="47" t="s">
        <v>233</v>
      </c>
      <c r="BC65" s="181"/>
      <c r="BD65" s="181"/>
      <c r="BE65" s="189">
        <v>45723</v>
      </c>
      <c r="BF65" s="181"/>
      <c r="BG65" s="181"/>
      <c r="BH65" s="181"/>
      <c r="BI65" s="181"/>
      <c r="BJ65" s="181"/>
      <c r="BK65" s="181"/>
      <c r="BL65" s="181"/>
      <c r="BM65" s="47" t="s">
        <v>109</v>
      </c>
      <c r="BN65" s="37" t="s">
        <v>110</v>
      </c>
      <c r="BO65" s="181"/>
      <c r="BP65" s="181"/>
      <c r="BQ65" s="181"/>
      <c r="BR65" s="181"/>
      <c r="BS65" s="47" t="s">
        <v>111</v>
      </c>
      <c r="BT65" s="47"/>
      <c r="BU65" s="63" t="s">
        <v>275</v>
      </c>
      <c r="BV65" s="181"/>
      <c r="BW65" s="181"/>
      <c r="BX65" s="181" t="s">
        <v>2116</v>
      </c>
    </row>
    <row r="66" s="104" customFormat="1" ht="29" customHeight="1" spans="1:76">
      <c r="A66" s="7">
        <v>14</v>
      </c>
      <c r="B66" s="47" t="s">
        <v>2117</v>
      </c>
      <c r="C66" s="47" t="s">
        <v>2118</v>
      </c>
      <c r="D66" s="111" t="str">
        <f t="shared" si="12"/>
        <v>女</v>
      </c>
      <c r="E66" s="47" t="s">
        <v>81</v>
      </c>
      <c r="F66" s="47" t="s">
        <v>144</v>
      </c>
      <c r="G66" s="58" t="s">
        <v>1045</v>
      </c>
      <c r="H66" s="123">
        <v>44746</v>
      </c>
      <c r="I66" s="111">
        <v>15926864315</v>
      </c>
      <c r="J66" s="47" t="s">
        <v>2119</v>
      </c>
      <c r="K66" s="138" t="s">
        <v>2120</v>
      </c>
      <c r="L66" s="37" t="s">
        <v>2121</v>
      </c>
      <c r="M66" s="47" t="s">
        <v>149</v>
      </c>
      <c r="N66" s="37" t="s">
        <v>144</v>
      </c>
      <c r="O66" s="32" t="str">
        <f t="shared" si="13"/>
        <v>1977-10-30</v>
      </c>
      <c r="P66" s="34">
        <f ca="1" t="shared" si="14"/>
        <v>49</v>
      </c>
      <c r="Q66" s="47">
        <f ca="1" t="shared" si="15"/>
        <v>3</v>
      </c>
      <c r="R66" s="28" t="s">
        <v>88</v>
      </c>
      <c r="S66" s="47" t="s">
        <v>89</v>
      </c>
      <c r="T66" s="111" t="s">
        <v>90</v>
      </c>
      <c r="U66" s="47" t="s">
        <v>91</v>
      </c>
      <c r="V66" s="47" t="s">
        <v>92</v>
      </c>
      <c r="W66" s="47"/>
      <c r="X66" s="47"/>
      <c r="Y66" s="149" t="s">
        <v>2122</v>
      </c>
      <c r="Z66" s="47">
        <v>201612</v>
      </c>
      <c r="AA66" s="47">
        <v>2020.1</v>
      </c>
      <c r="AB66" s="47" t="s">
        <v>1045</v>
      </c>
      <c r="AC66" s="47"/>
      <c r="AD66" s="47"/>
      <c r="AE66" s="47"/>
      <c r="AF66" s="47" t="s">
        <v>122</v>
      </c>
      <c r="AG66" s="37"/>
      <c r="AH66" s="47"/>
      <c r="AI66" s="47"/>
      <c r="AJ66" s="47"/>
      <c r="AK66" s="47"/>
      <c r="AL66" s="47"/>
      <c r="AM66" s="47"/>
      <c r="AN66" s="111" t="s">
        <v>99</v>
      </c>
      <c r="AO66" s="37" t="s">
        <v>2121</v>
      </c>
      <c r="AP66" s="37" t="s">
        <v>176</v>
      </c>
      <c r="AQ66" s="47" t="s">
        <v>2123</v>
      </c>
      <c r="AR66" s="47" t="s">
        <v>102</v>
      </c>
      <c r="AS66" s="47">
        <v>46</v>
      </c>
      <c r="AT66" s="47" t="s">
        <v>178</v>
      </c>
      <c r="AU66" s="47" t="s">
        <v>2123</v>
      </c>
      <c r="AV66" s="47" t="s">
        <v>104</v>
      </c>
      <c r="AW66" s="111">
        <v>13972649470</v>
      </c>
      <c r="AX66" s="37" t="s">
        <v>561</v>
      </c>
      <c r="AY66" s="47">
        <v>2</v>
      </c>
      <c r="AZ66" s="123">
        <v>44835</v>
      </c>
      <c r="BA66" s="123">
        <v>45930</v>
      </c>
      <c r="BB66" s="47" t="s">
        <v>106</v>
      </c>
      <c r="BC66" s="47"/>
      <c r="BD66" s="47"/>
      <c r="BE66" s="189">
        <v>45716</v>
      </c>
      <c r="BF66" s="37"/>
      <c r="BG66" s="47"/>
      <c r="BH66" s="37" t="s">
        <v>2124</v>
      </c>
      <c r="BI66" s="37"/>
      <c r="BJ66" s="218">
        <v>45200</v>
      </c>
      <c r="BK66" s="47" t="s">
        <v>17</v>
      </c>
      <c r="BL66" s="269" t="s">
        <v>2125</v>
      </c>
      <c r="BM66" s="47" t="s">
        <v>109</v>
      </c>
      <c r="BN66" s="37" t="s">
        <v>110</v>
      </c>
      <c r="BO66" s="65">
        <v>2022.1</v>
      </c>
      <c r="BP66" s="58" t="s">
        <v>2126</v>
      </c>
      <c r="BQ66" s="269" t="s">
        <v>2127</v>
      </c>
      <c r="BR66" s="65">
        <v>2022.1</v>
      </c>
      <c r="BS66" s="47" t="s">
        <v>111</v>
      </c>
      <c r="BT66" s="47">
        <v>522</v>
      </c>
      <c r="BU66" s="63" t="s">
        <v>382</v>
      </c>
      <c r="BV66" s="47"/>
      <c r="BW66" s="47"/>
      <c r="BX66" s="180">
        <v>44835</v>
      </c>
    </row>
    <row r="67" s="104" customFormat="1" ht="29" customHeight="1" spans="1:76">
      <c r="A67" s="7">
        <v>15</v>
      </c>
      <c r="B67" s="47" t="s">
        <v>1940</v>
      </c>
      <c r="C67" s="47" t="s">
        <v>2128</v>
      </c>
      <c r="D67" s="165" t="s">
        <v>214</v>
      </c>
      <c r="E67" s="47" t="s">
        <v>81</v>
      </c>
      <c r="F67" s="47" t="s">
        <v>144</v>
      </c>
      <c r="G67" s="47" t="s">
        <v>121</v>
      </c>
      <c r="H67" s="123">
        <v>45717</v>
      </c>
      <c r="I67" s="47">
        <v>15327502189</v>
      </c>
      <c r="J67" s="270" t="s">
        <v>2129</v>
      </c>
      <c r="K67" s="47" t="s">
        <v>224</v>
      </c>
      <c r="L67" s="37" t="s">
        <v>2130</v>
      </c>
      <c r="M67" s="47" t="s">
        <v>149</v>
      </c>
      <c r="N67" s="37" t="s">
        <v>1365</v>
      </c>
      <c r="O67" s="32" t="s">
        <v>2131</v>
      </c>
      <c r="P67" s="34">
        <v>41</v>
      </c>
      <c r="Q67" s="47">
        <v>3</v>
      </c>
      <c r="R67" s="47" t="s">
        <v>88</v>
      </c>
      <c r="S67" s="47" t="s">
        <v>89</v>
      </c>
      <c r="T67" s="47" t="s">
        <v>90</v>
      </c>
      <c r="U67" s="47" t="s">
        <v>91</v>
      </c>
      <c r="V67" s="47" t="s">
        <v>92</v>
      </c>
      <c r="W67" s="165"/>
      <c r="X67" s="165"/>
      <c r="Y67" s="165"/>
      <c r="Z67" s="165"/>
      <c r="AA67" s="165"/>
      <c r="AB67" s="149" t="s">
        <v>1413</v>
      </c>
      <c r="AC67" s="165"/>
      <c r="AD67" s="165"/>
      <c r="AE67" s="165"/>
      <c r="AF67" s="47" t="s">
        <v>96</v>
      </c>
      <c r="AG67" s="165"/>
      <c r="AH67" s="165"/>
      <c r="AI67" s="165"/>
      <c r="AJ67" s="165"/>
      <c r="AK67" s="165"/>
      <c r="AL67" s="165"/>
      <c r="AM67" s="165"/>
      <c r="AN67" s="47" t="s">
        <v>99</v>
      </c>
      <c r="AO67" s="37" t="s">
        <v>1412</v>
      </c>
      <c r="AP67" s="47" t="s">
        <v>100</v>
      </c>
      <c r="AQ67" s="47" t="s">
        <v>2132</v>
      </c>
      <c r="AR67" s="47" t="s">
        <v>102</v>
      </c>
      <c r="AS67" s="165"/>
      <c r="AT67" s="47" t="s">
        <v>1130</v>
      </c>
      <c r="AU67" s="47" t="s">
        <v>2133</v>
      </c>
      <c r="AV67" s="47" t="s">
        <v>104</v>
      </c>
      <c r="AW67" s="47">
        <v>13477509853</v>
      </c>
      <c r="AX67" s="37" t="s">
        <v>1416</v>
      </c>
      <c r="AY67" s="165">
        <v>1</v>
      </c>
      <c r="AZ67" s="123">
        <v>45717</v>
      </c>
      <c r="BA67" s="123" t="s">
        <v>1417</v>
      </c>
      <c r="BB67" s="47" t="s">
        <v>106</v>
      </c>
      <c r="BC67" s="165"/>
      <c r="BD67" s="165"/>
      <c r="BE67" s="189">
        <v>45733</v>
      </c>
      <c r="BF67" s="165"/>
      <c r="BG67" s="165"/>
      <c r="BH67" s="37" t="s">
        <v>2134</v>
      </c>
      <c r="BI67" s="165"/>
      <c r="BJ67" s="165"/>
      <c r="BK67" s="165"/>
      <c r="BL67" s="269" t="s">
        <v>2135</v>
      </c>
      <c r="BM67" s="47" t="s">
        <v>109</v>
      </c>
      <c r="BN67" s="37" t="s">
        <v>110</v>
      </c>
      <c r="BO67" s="47">
        <v>2025.05</v>
      </c>
      <c r="BP67" s="165"/>
      <c r="BQ67" s="165"/>
      <c r="BR67" s="47">
        <v>2025.05</v>
      </c>
      <c r="BS67" s="47" t="s">
        <v>111</v>
      </c>
      <c r="BT67" s="47">
        <v>537</v>
      </c>
      <c r="BU67" s="63" t="s">
        <v>275</v>
      </c>
      <c r="BV67" s="165"/>
      <c r="BW67" s="165"/>
      <c r="BX67" s="220" t="s">
        <v>276</v>
      </c>
    </row>
    <row r="68" s="104" customFormat="1" ht="29" customHeight="1" spans="1:76">
      <c r="A68" s="7">
        <v>16</v>
      </c>
      <c r="B68" s="47" t="s">
        <v>1904</v>
      </c>
      <c r="C68" s="111" t="s">
        <v>2136</v>
      </c>
      <c r="D68" s="111" t="str">
        <f t="shared" ref="D68:D73" si="16">IF(MOD(MID(J68,17,1),2)=1,"男","女")</f>
        <v>女</v>
      </c>
      <c r="E68" s="47" t="s">
        <v>81</v>
      </c>
      <c r="F68" s="47" t="s">
        <v>144</v>
      </c>
      <c r="G68" s="117" t="s">
        <v>114</v>
      </c>
      <c r="H68" s="18">
        <v>45369</v>
      </c>
      <c r="I68" s="111">
        <v>15872923604</v>
      </c>
      <c r="J68" s="265" t="s">
        <v>2137</v>
      </c>
      <c r="K68" s="28" t="s">
        <v>116</v>
      </c>
      <c r="L68" s="58" t="s">
        <v>2138</v>
      </c>
      <c r="M68" s="47" t="s">
        <v>149</v>
      </c>
      <c r="N68" s="58" t="s">
        <v>2138</v>
      </c>
      <c r="O68" s="32" t="str">
        <f>TEXT(MID(J68,7,8),"0-00-00")</f>
        <v>1986-08-05</v>
      </c>
      <c r="P68" s="34">
        <f ca="1" t="shared" ref="P68:P73" si="17">YEAR(TODAY())-MID(J68,7,4)</f>
        <v>40</v>
      </c>
      <c r="Q68" s="47">
        <f ca="1" t="shared" ref="Q68:Q74" si="18">IF(H68="","",DATEDIF(H68,TODAY(),"Y"))</f>
        <v>2</v>
      </c>
      <c r="R68" s="28" t="s">
        <v>88</v>
      </c>
      <c r="S68" s="47" t="s">
        <v>89</v>
      </c>
      <c r="T68" s="28" t="s">
        <v>90</v>
      </c>
      <c r="U68" s="47" t="s">
        <v>91</v>
      </c>
      <c r="V68" s="47" t="s">
        <v>92</v>
      </c>
      <c r="W68" s="47"/>
      <c r="X68" s="47"/>
      <c r="Y68" s="37" t="s">
        <v>2139</v>
      </c>
      <c r="Z68" s="47">
        <v>2019.4</v>
      </c>
      <c r="AA68" s="47">
        <v>2020.1</v>
      </c>
      <c r="AB68" s="47" t="s">
        <v>2140</v>
      </c>
      <c r="AC68" s="47"/>
      <c r="AD68" s="47"/>
      <c r="AE68" s="47"/>
      <c r="AF68" s="28" t="s">
        <v>122</v>
      </c>
      <c r="AG68" s="37"/>
      <c r="AH68" s="28"/>
      <c r="AI68" s="47"/>
      <c r="AJ68" s="47"/>
      <c r="AK68" s="47"/>
      <c r="AL68" s="47"/>
      <c r="AM68" s="47"/>
      <c r="AN68" s="111" t="s">
        <v>99</v>
      </c>
      <c r="AO68" s="58" t="s">
        <v>2138</v>
      </c>
      <c r="AP68" s="47" t="s">
        <v>176</v>
      </c>
      <c r="AQ68" s="47" t="s">
        <v>2141</v>
      </c>
      <c r="AR68" s="47" t="s">
        <v>102</v>
      </c>
      <c r="AS68" s="47">
        <v>37</v>
      </c>
      <c r="AT68" s="47" t="s">
        <v>1130</v>
      </c>
      <c r="AU68" s="103" t="s">
        <v>2141</v>
      </c>
      <c r="AV68" s="47" t="s">
        <v>104</v>
      </c>
      <c r="AW68" s="28">
        <v>13597910016</v>
      </c>
      <c r="AX68" s="175" t="s">
        <v>351</v>
      </c>
      <c r="AY68" s="47">
        <v>0</v>
      </c>
      <c r="AZ68" s="122">
        <v>45461</v>
      </c>
      <c r="BA68" s="123">
        <v>45825</v>
      </c>
      <c r="BB68" s="47" t="s">
        <v>106</v>
      </c>
      <c r="BC68" s="47"/>
      <c r="BD68" s="47"/>
      <c r="BE68" s="189">
        <v>45741</v>
      </c>
      <c r="BF68" s="37"/>
      <c r="BG68" s="47"/>
      <c r="BH68" s="37"/>
      <c r="BI68" s="37"/>
      <c r="BJ68" s="37"/>
      <c r="BK68" s="47"/>
      <c r="BL68" s="269" t="s">
        <v>2142</v>
      </c>
      <c r="BM68" s="47" t="s">
        <v>109</v>
      </c>
      <c r="BN68" s="37" t="s">
        <v>110</v>
      </c>
      <c r="BO68" s="197">
        <v>2024.7</v>
      </c>
      <c r="BP68" s="58"/>
      <c r="BQ68" s="37"/>
      <c r="BR68" s="197">
        <v>2024.7</v>
      </c>
      <c r="BS68" s="47" t="s">
        <v>111</v>
      </c>
      <c r="BT68" s="47"/>
      <c r="BU68" s="206" t="s">
        <v>353</v>
      </c>
      <c r="BV68" s="47"/>
      <c r="BW68" s="47"/>
      <c r="BX68" s="207">
        <v>45461</v>
      </c>
    </row>
    <row r="69" s="104" customFormat="1" ht="29" customHeight="1" spans="1:76">
      <c r="A69" s="7">
        <v>17</v>
      </c>
      <c r="B69" s="47" t="s">
        <v>263</v>
      </c>
      <c r="C69" s="47" t="s">
        <v>2143</v>
      </c>
      <c r="D69" s="111" t="str">
        <f t="shared" si="16"/>
        <v>男</v>
      </c>
      <c r="E69" s="47" t="s">
        <v>81</v>
      </c>
      <c r="F69" s="47" t="s">
        <v>144</v>
      </c>
      <c r="G69" s="47" t="s">
        <v>121</v>
      </c>
      <c r="H69" s="123">
        <v>45731</v>
      </c>
      <c r="I69" s="47">
        <v>13419753282</v>
      </c>
      <c r="J69" s="270" t="s">
        <v>2144</v>
      </c>
      <c r="K69" s="47" t="s">
        <v>205</v>
      </c>
      <c r="L69" s="37" t="s">
        <v>2145</v>
      </c>
      <c r="M69" s="47" t="s">
        <v>149</v>
      </c>
      <c r="N69" s="37" t="s">
        <v>2145</v>
      </c>
      <c r="O69" s="204" t="s">
        <v>2146</v>
      </c>
      <c r="P69" s="34">
        <f ca="1" t="shared" si="17"/>
        <v>48</v>
      </c>
      <c r="Q69" s="47">
        <f ca="1" t="shared" si="18"/>
        <v>1</v>
      </c>
      <c r="R69" s="47" t="s">
        <v>88</v>
      </c>
      <c r="S69" s="47" t="s">
        <v>89</v>
      </c>
      <c r="T69" s="47" t="s">
        <v>90</v>
      </c>
      <c r="U69" s="47" t="s">
        <v>91</v>
      </c>
      <c r="V69" s="47" t="s">
        <v>92</v>
      </c>
      <c r="W69" s="165"/>
      <c r="X69" s="165"/>
      <c r="Y69" s="149" t="s">
        <v>2147</v>
      </c>
      <c r="Z69" s="165"/>
      <c r="AA69" s="165"/>
      <c r="AB69" s="165"/>
      <c r="AC69" s="165"/>
      <c r="AD69" s="165"/>
      <c r="AE69" s="165"/>
      <c r="AF69" s="47" t="s">
        <v>122</v>
      </c>
      <c r="AG69" s="165"/>
      <c r="AH69" s="165"/>
      <c r="AI69" s="165"/>
      <c r="AJ69" s="165"/>
      <c r="AK69" s="165"/>
      <c r="AL69" s="165"/>
      <c r="AM69" s="165"/>
      <c r="AN69" s="47" t="s">
        <v>99</v>
      </c>
      <c r="AO69" s="37" t="s">
        <v>2148</v>
      </c>
      <c r="AP69" s="47" t="s">
        <v>2149</v>
      </c>
      <c r="AQ69" s="47" t="s">
        <v>123</v>
      </c>
      <c r="AR69" s="47" t="s">
        <v>102</v>
      </c>
      <c r="AS69" s="47"/>
      <c r="AT69" s="47" t="s">
        <v>2150</v>
      </c>
      <c r="AU69" s="47" t="s">
        <v>2149</v>
      </c>
      <c r="AV69" s="47" t="s">
        <v>123</v>
      </c>
      <c r="AW69" s="47">
        <v>13353814832</v>
      </c>
      <c r="AX69" s="37" t="s">
        <v>2151</v>
      </c>
      <c r="AY69" s="47">
        <v>1</v>
      </c>
      <c r="AZ69" s="123">
        <v>45731</v>
      </c>
      <c r="BA69" s="123">
        <v>46095</v>
      </c>
      <c r="BB69" s="47" t="s">
        <v>106</v>
      </c>
      <c r="BC69" s="165"/>
      <c r="BD69" s="165"/>
      <c r="BE69" s="189">
        <v>45744</v>
      </c>
      <c r="BF69" s="165"/>
      <c r="BG69" s="165"/>
      <c r="BH69" s="37"/>
      <c r="BI69" s="165"/>
      <c r="BJ69" s="165"/>
      <c r="BK69" s="165"/>
      <c r="BL69" s="147"/>
      <c r="BM69" s="47" t="s">
        <v>109</v>
      </c>
      <c r="BN69" s="37" t="s">
        <v>110</v>
      </c>
      <c r="BO69" s="47">
        <v>2025.04</v>
      </c>
      <c r="BP69" s="165"/>
      <c r="BQ69" s="165"/>
      <c r="BR69" s="47">
        <v>2025.04</v>
      </c>
      <c r="BS69" s="47" t="s">
        <v>111</v>
      </c>
      <c r="BT69" s="47"/>
      <c r="BU69" s="63" t="s">
        <v>1431</v>
      </c>
      <c r="BV69" s="165"/>
      <c r="BW69" s="165"/>
      <c r="BX69" s="220" t="s">
        <v>1421</v>
      </c>
    </row>
    <row r="70" s="104" customFormat="1" ht="29" customHeight="1" spans="1:76">
      <c r="A70" s="7">
        <v>18</v>
      </c>
      <c r="B70" s="47" t="s">
        <v>2062</v>
      </c>
      <c r="C70" s="47" t="s">
        <v>2152</v>
      </c>
      <c r="D70" s="111" t="str">
        <f t="shared" si="16"/>
        <v>男</v>
      </c>
      <c r="E70" s="47" t="s">
        <v>81</v>
      </c>
      <c r="F70" s="47" t="s">
        <v>144</v>
      </c>
      <c r="G70" s="47" t="s">
        <v>121</v>
      </c>
      <c r="H70" s="123">
        <v>45728</v>
      </c>
      <c r="I70" s="47">
        <v>13477570132</v>
      </c>
      <c r="J70" s="47" t="s">
        <v>2153</v>
      </c>
      <c r="K70" s="47" t="s">
        <v>116</v>
      </c>
      <c r="L70" s="37" t="s">
        <v>2154</v>
      </c>
      <c r="M70" s="47" t="s">
        <v>187</v>
      </c>
      <c r="N70" s="37" t="s">
        <v>2154</v>
      </c>
      <c r="O70" s="32" t="s">
        <v>2155</v>
      </c>
      <c r="P70" s="34">
        <f ca="1" t="shared" si="17"/>
        <v>38</v>
      </c>
      <c r="Q70" s="47">
        <f ca="1" t="shared" si="18"/>
        <v>1</v>
      </c>
      <c r="R70" s="47" t="s">
        <v>88</v>
      </c>
      <c r="S70" s="47" t="s">
        <v>89</v>
      </c>
      <c r="T70" s="47" t="s">
        <v>150</v>
      </c>
      <c r="U70" s="47" t="s">
        <v>91</v>
      </c>
      <c r="V70" s="47" t="s">
        <v>92</v>
      </c>
      <c r="W70" s="165"/>
      <c r="X70" s="165"/>
      <c r="Y70" s="149" t="s">
        <v>1070</v>
      </c>
      <c r="Z70" s="165"/>
      <c r="AA70" s="165"/>
      <c r="AB70" s="149" t="s">
        <v>2156</v>
      </c>
      <c r="AC70" s="165"/>
      <c r="AD70" s="165"/>
      <c r="AE70" s="165"/>
      <c r="AF70" s="47" t="s">
        <v>154</v>
      </c>
      <c r="AG70" s="149" t="s">
        <v>2157</v>
      </c>
      <c r="AH70" s="149" t="s">
        <v>2158</v>
      </c>
      <c r="AI70" s="165"/>
      <c r="AJ70" s="165"/>
      <c r="AK70" s="165"/>
      <c r="AL70" s="165"/>
      <c r="AM70" s="165"/>
      <c r="AN70" s="47" t="s">
        <v>194</v>
      </c>
      <c r="AO70" s="37" t="s">
        <v>2159</v>
      </c>
      <c r="AP70" s="47" t="s">
        <v>100</v>
      </c>
      <c r="AQ70" s="47" t="s">
        <v>2160</v>
      </c>
      <c r="AR70" s="47" t="s">
        <v>102</v>
      </c>
      <c r="AS70" s="165"/>
      <c r="AT70" s="149" t="s">
        <v>2161</v>
      </c>
      <c r="AU70" s="47" t="s">
        <v>2160</v>
      </c>
      <c r="AV70" s="47" t="s">
        <v>100</v>
      </c>
      <c r="AW70" s="47">
        <v>13409601189</v>
      </c>
      <c r="AX70" s="37" t="s">
        <v>2162</v>
      </c>
      <c r="AY70" s="47">
        <v>1</v>
      </c>
      <c r="AZ70" s="123">
        <v>45728</v>
      </c>
      <c r="BA70" s="123">
        <v>46092</v>
      </c>
      <c r="BB70" s="47" t="s">
        <v>106</v>
      </c>
      <c r="BC70" s="165"/>
      <c r="BD70" s="165"/>
      <c r="BE70" s="189">
        <v>45753</v>
      </c>
      <c r="BF70" s="165"/>
      <c r="BG70" s="165"/>
      <c r="BH70" s="37"/>
      <c r="BI70" s="165"/>
      <c r="BJ70" s="165"/>
      <c r="BK70" s="165"/>
      <c r="BL70" s="269" t="s">
        <v>2163</v>
      </c>
      <c r="BM70" s="47" t="s">
        <v>109</v>
      </c>
      <c r="BN70" s="37" t="s">
        <v>110</v>
      </c>
      <c r="BO70" s="47">
        <v>2025.04</v>
      </c>
      <c r="BP70" s="165"/>
      <c r="BQ70" s="165"/>
      <c r="BR70" s="47">
        <v>2025.04</v>
      </c>
      <c r="BS70" s="47" t="s">
        <v>111</v>
      </c>
      <c r="BT70" s="47">
        <v>519</v>
      </c>
      <c r="BU70" s="63" t="s">
        <v>1431</v>
      </c>
      <c r="BV70" s="165"/>
      <c r="BW70" s="165"/>
      <c r="BX70" s="220" t="s">
        <v>2164</v>
      </c>
    </row>
    <row r="71" ht="92" spans="1:76">
      <c r="A71" s="7">
        <v>19</v>
      </c>
      <c r="B71" s="47" t="s">
        <v>2165</v>
      </c>
      <c r="C71" s="47" t="s">
        <v>2166</v>
      </c>
      <c r="D71" s="111" t="str">
        <f t="shared" si="16"/>
        <v>男</v>
      </c>
      <c r="E71" s="47" t="s">
        <v>417</v>
      </c>
      <c r="F71" s="47" t="s">
        <v>144</v>
      </c>
      <c r="G71" s="58" t="s">
        <v>516</v>
      </c>
      <c r="H71" s="123">
        <v>44735</v>
      </c>
      <c r="I71" s="111">
        <v>19086922881</v>
      </c>
      <c r="J71" s="111" t="s">
        <v>2167</v>
      </c>
      <c r="K71" s="138" t="s">
        <v>116</v>
      </c>
      <c r="L71" s="58" t="s">
        <v>2168</v>
      </c>
      <c r="M71" s="47" t="s">
        <v>282</v>
      </c>
      <c r="N71" s="58" t="s">
        <v>2169</v>
      </c>
      <c r="O71" s="32" t="str">
        <f>TEXT(MID(J71,7,8),"0-00-00")</f>
        <v>1963-11-07</v>
      </c>
      <c r="P71" s="34">
        <f ca="1" t="shared" si="17"/>
        <v>63</v>
      </c>
      <c r="Q71" s="47">
        <f ca="1" t="shared" si="18"/>
        <v>3</v>
      </c>
      <c r="R71" s="28" t="s">
        <v>88</v>
      </c>
      <c r="S71" s="47" t="s">
        <v>245</v>
      </c>
      <c r="T71" s="111" t="s">
        <v>90</v>
      </c>
      <c r="U71" s="47" t="s">
        <v>91</v>
      </c>
      <c r="V71" s="47" t="s">
        <v>92</v>
      </c>
      <c r="W71" s="47"/>
      <c r="X71" s="47"/>
      <c r="Y71" s="37" t="s">
        <v>2170</v>
      </c>
      <c r="Z71" s="47">
        <v>2000.8</v>
      </c>
      <c r="AA71" s="47">
        <v>2022.3</v>
      </c>
      <c r="AB71" s="47" t="s">
        <v>94</v>
      </c>
      <c r="AC71" s="47"/>
      <c r="AD71" s="47"/>
      <c r="AE71" s="47"/>
      <c r="AF71" s="47" t="s">
        <v>122</v>
      </c>
      <c r="AG71" s="37" t="s">
        <v>1523</v>
      </c>
      <c r="AH71" s="47"/>
      <c r="AI71" s="47"/>
      <c r="AJ71" s="47"/>
      <c r="AK71" s="47"/>
      <c r="AL71" s="47" t="s">
        <v>536</v>
      </c>
      <c r="AM71" s="47"/>
      <c r="AN71" s="111" t="s">
        <v>99</v>
      </c>
      <c r="AO71" s="58" t="s">
        <v>2169</v>
      </c>
      <c r="AP71" s="37" t="s">
        <v>212</v>
      </c>
      <c r="AQ71" s="47" t="s">
        <v>2171</v>
      </c>
      <c r="AR71" s="47" t="s">
        <v>214</v>
      </c>
      <c r="AS71" s="47">
        <v>60</v>
      </c>
      <c r="AT71" s="47" t="s">
        <v>159</v>
      </c>
      <c r="AU71" s="47" t="s">
        <v>2172</v>
      </c>
      <c r="AV71" s="47" t="s">
        <v>393</v>
      </c>
      <c r="AW71" s="111">
        <v>18627798899</v>
      </c>
      <c r="AX71" s="37" t="s">
        <v>589</v>
      </c>
      <c r="AY71" s="47">
        <v>2</v>
      </c>
      <c r="AZ71" s="123">
        <v>44805</v>
      </c>
      <c r="BA71" s="123">
        <v>45961</v>
      </c>
      <c r="BB71" s="47" t="s">
        <v>106</v>
      </c>
      <c r="BC71" s="47"/>
      <c r="BD71" s="123"/>
      <c r="BE71" s="189">
        <v>45747</v>
      </c>
      <c r="BF71" s="37"/>
      <c r="BG71" s="47"/>
      <c r="BH71" s="37"/>
      <c r="BI71" s="37"/>
      <c r="BJ71" s="218">
        <v>45231</v>
      </c>
      <c r="BK71" s="47" t="s">
        <v>2173</v>
      </c>
      <c r="BL71" s="268" t="s">
        <v>2174</v>
      </c>
      <c r="BM71" s="47" t="s">
        <v>109</v>
      </c>
      <c r="BN71" s="37" t="s">
        <v>110</v>
      </c>
      <c r="BO71" s="47">
        <v>2022.9</v>
      </c>
      <c r="BP71" s="58" t="s">
        <v>2175</v>
      </c>
      <c r="BQ71" s="269" t="s">
        <v>2176</v>
      </c>
      <c r="BR71" s="47">
        <v>2022.9</v>
      </c>
      <c r="BS71" s="47" t="s">
        <v>111</v>
      </c>
      <c r="BT71" s="47"/>
      <c r="BU71" s="206" t="s">
        <v>382</v>
      </c>
      <c r="BV71" s="47"/>
      <c r="BW71" s="47"/>
      <c r="BX71" s="180">
        <v>44805</v>
      </c>
    </row>
    <row r="72" ht="29" customHeight="1" spans="1:76">
      <c r="A72" s="7">
        <v>20</v>
      </c>
      <c r="B72" s="111" t="s">
        <v>2177</v>
      </c>
      <c r="C72" s="47" t="s">
        <v>2178</v>
      </c>
      <c r="D72" s="111" t="str">
        <f t="shared" si="16"/>
        <v>男</v>
      </c>
      <c r="E72" s="47" t="s">
        <v>644</v>
      </c>
      <c r="F72" s="47" t="s">
        <v>144</v>
      </c>
      <c r="G72" s="124" t="s">
        <v>710</v>
      </c>
      <c r="H72" s="123">
        <v>45446</v>
      </c>
      <c r="I72" s="47">
        <v>17386468870</v>
      </c>
      <c r="J72" s="63" t="s">
        <v>2179</v>
      </c>
      <c r="K72" s="47" t="s">
        <v>169</v>
      </c>
      <c r="L72" s="37" t="s">
        <v>2180</v>
      </c>
      <c r="M72" s="47" t="s">
        <v>149</v>
      </c>
      <c r="N72" s="58" t="s">
        <v>2180</v>
      </c>
      <c r="O72" s="32" t="str">
        <f>TEXT(MID(J72,7,8),"0-00-00")</f>
        <v>1965-12-08</v>
      </c>
      <c r="P72" s="34">
        <f ca="1" t="shared" si="17"/>
        <v>61</v>
      </c>
      <c r="Q72" s="47">
        <f ca="1" t="shared" si="18"/>
        <v>2</v>
      </c>
      <c r="R72" s="28" t="s">
        <v>88</v>
      </c>
      <c r="S72" s="47" t="s">
        <v>245</v>
      </c>
      <c r="T72" s="111" t="s">
        <v>90</v>
      </c>
      <c r="U72" s="47" t="s">
        <v>91</v>
      </c>
      <c r="V72" s="47" t="s">
        <v>92</v>
      </c>
      <c r="W72" s="47"/>
      <c r="X72" s="47"/>
      <c r="Y72" s="37" t="s">
        <v>2181</v>
      </c>
      <c r="Z72" s="47">
        <v>2018.4</v>
      </c>
      <c r="AA72" s="47">
        <v>2024.5</v>
      </c>
      <c r="AB72" s="47" t="s">
        <v>710</v>
      </c>
      <c r="AC72" s="47"/>
      <c r="AD72" s="47"/>
      <c r="AE72" s="47"/>
      <c r="AF72" s="47" t="s">
        <v>122</v>
      </c>
      <c r="AG72" s="37"/>
      <c r="AH72" s="47"/>
      <c r="AI72" s="47"/>
      <c r="AJ72" s="47"/>
      <c r="AK72" s="47"/>
      <c r="AL72" s="47" t="s">
        <v>2182</v>
      </c>
      <c r="AM72" s="47"/>
      <c r="AN72" s="111" t="s">
        <v>99</v>
      </c>
      <c r="AO72" s="58" t="s">
        <v>2180</v>
      </c>
      <c r="AP72" s="47" t="s">
        <v>212</v>
      </c>
      <c r="AQ72" s="47" t="s">
        <v>2183</v>
      </c>
      <c r="AR72" s="47" t="s">
        <v>214</v>
      </c>
      <c r="AS72" s="47"/>
      <c r="AT72" s="47"/>
      <c r="AU72" s="47" t="s">
        <v>2183</v>
      </c>
      <c r="AV72" s="47" t="s">
        <v>104</v>
      </c>
      <c r="AW72" s="47">
        <v>17362623096</v>
      </c>
      <c r="AX72" s="37" t="s">
        <v>216</v>
      </c>
      <c r="AY72" s="47">
        <v>1</v>
      </c>
      <c r="AZ72" s="180">
        <v>45505</v>
      </c>
      <c r="BA72" s="123">
        <v>45869</v>
      </c>
      <c r="BB72" s="47" t="s">
        <v>106</v>
      </c>
      <c r="BC72" s="47"/>
      <c r="BD72" s="47"/>
      <c r="BE72" s="189">
        <v>45757</v>
      </c>
      <c r="BF72" s="47"/>
      <c r="BG72" s="47"/>
      <c r="BH72" s="37"/>
      <c r="BI72" s="47"/>
      <c r="BJ72" s="47"/>
      <c r="BK72" s="47"/>
      <c r="BL72" s="273" t="s">
        <v>2184</v>
      </c>
      <c r="BM72" s="47"/>
      <c r="BN72" s="47"/>
      <c r="BO72" s="47"/>
      <c r="BP72" s="47"/>
      <c r="BQ72" s="47"/>
      <c r="BR72" s="47"/>
      <c r="BS72" s="47" t="s">
        <v>111</v>
      </c>
      <c r="BT72" s="47"/>
      <c r="BU72" s="206" t="s">
        <v>219</v>
      </c>
      <c r="BV72" s="47"/>
      <c r="BW72" s="47"/>
      <c r="BX72" s="180">
        <v>45505</v>
      </c>
    </row>
    <row r="73" s="105" customFormat="1" ht="29" customHeight="1" spans="1:76">
      <c r="A73" s="7">
        <v>21</v>
      </c>
      <c r="B73" s="47" t="s">
        <v>2062</v>
      </c>
      <c r="C73" s="47" t="s">
        <v>2185</v>
      </c>
      <c r="D73" s="111" t="str">
        <f t="shared" si="16"/>
        <v>男</v>
      </c>
      <c r="E73" s="47" t="s">
        <v>81</v>
      </c>
      <c r="F73" s="47" t="s">
        <v>144</v>
      </c>
      <c r="G73" s="149" t="s">
        <v>1362</v>
      </c>
      <c r="H73" s="123">
        <v>45735</v>
      </c>
      <c r="I73" s="47">
        <v>18772716250</v>
      </c>
      <c r="J73" s="47" t="s">
        <v>2186</v>
      </c>
      <c r="K73" s="47" t="s">
        <v>116</v>
      </c>
      <c r="L73" s="37" t="s">
        <v>2187</v>
      </c>
      <c r="M73" s="47" t="s">
        <v>149</v>
      </c>
      <c r="N73" s="37" t="s">
        <v>2187</v>
      </c>
      <c r="O73" s="32">
        <v>31514</v>
      </c>
      <c r="P73" s="34">
        <f ca="1" t="shared" si="17"/>
        <v>40</v>
      </c>
      <c r="Q73" s="47">
        <f ca="1" t="shared" si="18"/>
        <v>1</v>
      </c>
      <c r="R73" s="47" t="s">
        <v>88</v>
      </c>
      <c r="S73" s="47" t="s">
        <v>89</v>
      </c>
      <c r="T73" s="47" t="s">
        <v>90</v>
      </c>
      <c r="U73" s="47" t="s">
        <v>91</v>
      </c>
      <c r="V73" s="47" t="s">
        <v>92</v>
      </c>
      <c r="W73" s="165"/>
      <c r="X73" s="165"/>
      <c r="Y73" s="149" t="s">
        <v>2188</v>
      </c>
      <c r="Z73" s="47">
        <v>2017</v>
      </c>
      <c r="AA73" s="47">
        <v>2018</v>
      </c>
      <c r="AB73" s="149" t="s">
        <v>121</v>
      </c>
      <c r="AC73" s="165"/>
      <c r="AD73" s="165"/>
      <c r="AE73" s="165"/>
      <c r="AF73" s="47" t="s">
        <v>96</v>
      </c>
      <c r="AG73" s="165"/>
      <c r="AH73" s="165"/>
      <c r="AI73" s="165"/>
      <c r="AJ73" s="165"/>
      <c r="AK73" s="165"/>
      <c r="AL73" s="165"/>
      <c r="AM73" s="165"/>
      <c r="AN73" s="47" t="s">
        <v>99</v>
      </c>
      <c r="AO73" s="37" t="s">
        <v>2187</v>
      </c>
      <c r="AP73" s="47" t="s">
        <v>2189</v>
      </c>
      <c r="AQ73" s="47" t="s">
        <v>197</v>
      </c>
      <c r="AR73" s="165" t="s">
        <v>214</v>
      </c>
      <c r="AS73" s="165"/>
      <c r="AT73" s="165"/>
      <c r="AU73" s="47" t="s">
        <v>2189</v>
      </c>
      <c r="AV73" s="165" t="s">
        <v>197</v>
      </c>
      <c r="AW73" s="47">
        <v>1580726455</v>
      </c>
      <c r="AX73" s="37" t="s">
        <v>2190</v>
      </c>
      <c r="AY73" s="47">
        <v>0</v>
      </c>
      <c r="AZ73" s="123">
        <v>45735</v>
      </c>
      <c r="BA73" s="123">
        <v>46099</v>
      </c>
      <c r="BB73" s="47" t="s">
        <v>106</v>
      </c>
      <c r="BC73" s="165"/>
      <c r="BD73" s="165"/>
      <c r="BE73" s="215">
        <v>45765</v>
      </c>
      <c r="BF73" s="165"/>
      <c r="BG73" s="165"/>
      <c r="BH73" s="37" t="s">
        <v>2191</v>
      </c>
      <c r="BI73" s="165"/>
      <c r="BJ73" s="165"/>
      <c r="BK73" s="165"/>
      <c r="BL73" s="269" t="s">
        <v>2192</v>
      </c>
      <c r="BM73" s="47" t="s">
        <v>109</v>
      </c>
      <c r="BN73" s="37" t="s">
        <v>110</v>
      </c>
      <c r="BO73" s="47">
        <v>2025.04</v>
      </c>
      <c r="BP73" s="165"/>
      <c r="BQ73" s="165"/>
      <c r="BR73" s="47">
        <v>2025.04</v>
      </c>
      <c r="BS73" s="47" t="s">
        <v>111</v>
      </c>
      <c r="BT73" s="47"/>
      <c r="BU73" s="63" t="s">
        <v>1431</v>
      </c>
      <c r="BV73" s="165"/>
      <c r="BW73" s="165"/>
      <c r="BX73" s="220" t="s">
        <v>2193</v>
      </c>
    </row>
    <row r="74" s="106" customFormat="1" ht="29" customHeight="1" spans="1:76">
      <c r="A74" s="7">
        <v>22</v>
      </c>
      <c r="B74" s="47" t="s">
        <v>2194</v>
      </c>
      <c r="C74" s="37" t="s">
        <v>2195</v>
      </c>
      <c r="D74" s="58" t="s">
        <v>214</v>
      </c>
      <c r="E74" s="37" t="s">
        <v>81</v>
      </c>
      <c r="F74" s="37" t="s">
        <v>144</v>
      </c>
      <c r="G74" s="149" t="s">
        <v>1362</v>
      </c>
      <c r="H74" s="175">
        <v>45764</v>
      </c>
      <c r="I74" s="37">
        <v>15827890177</v>
      </c>
      <c r="J74" s="269" t="s">
        <v>2196</v>
      </c>
      <c r="K74" s="47" t="s">
        <v>169</v>
      </c>
      <c r="L74" s="37" t="s">
        <v>2197</v>
      </c>
      <c r="M74" s="47" t="s">
        <v>149</v>
      </c>
      <c r="N74" s="37" t="s">
        <v>2198</v>
      </c>
      <c r="O74" s="212">
        <v>31869</v>
      </c>
      <c r="P74" s="34">
        <f ca="1" t="shared" ref="P74:P83" si="19">YEAR(TODAY())-MID(J74,7,4)</f>
        <v>39</v>
      </c>
      <c r="Q74" s="47">
        <f ca="1" t="shared" si="18"/>
        <v>1</v>
      </c>
      <c r="R74" s="37" t="s">
        <v>88</v>
      </c>
      <c r="S74" s="47" t="s">
        <v>245</v>
      </c>
      <c r="T74" s="47" t="s">
        <v>90</v>
      </c>
      <c r="U74" s="37" t="s">
        <v>91</v>
      </c>
      <c r="V74" s="37" t="s">
        <v>92</v>
      </c>
      <c r="W74" s="147"/>
      <c r="X74" s="147"/>
      <c r="Y74" s="213"/>
      <c r="Z74" s="147"/>
      <c r="AA74" s="147"/>
      <c r="AB74" s="213"/>
      <c r="AC74" s="147"/>
      <c r="AD74" s="147"/>
      <c r="AE74" s="147"/>
      <c r="AF74" s="37"/>
      <c r="AG74" s="213"/>
      <c r="AH74" s="213"/>
      <c r="AI74" s="147"/>
      <c r="AJ74" s="147"/>
      <c r="AK74" s="147"/>
      <c r="AL74" s="147"/>
      <c r="AM74" s="147"/>
      <c r="AN74" s="111" t="s">
        <v>99</v>
      </c>
      <c r="AO74" s="37" t="s">
        <v>2198</v>
      </c>
      <c r="AP74" s="47" t="s">
        <v>104</v>
      </c>
      <c r="AQ74" s="37" t="s">
        <v>2199</v>
      </c>
      <c r="AR74" s="37" t="s">
        <v>102</v>
      </c>
      <c r="AS74" s="147"/>
      <c r="AT74" s="213"/>
      <c r="AU74" s="37" t="s">
        <v>2199</v>
      </c>
      <c r="AV74" s="47" t="s">
        <v>104</v>
      </c>
      <c r="AW74" s="37">
        <v>15872168503</v>
      </c>
      <c r="AX74" s="37" t="s">
        <v>2200</v>
      </c>
      <c r="AY74" s="47">
        <v>1</v>
      </c>
      <c r="AZ74" s="123">
        <v>45764</v>
      </c>
      <c r="BA74" s="123">
        <v>46128</v>
      </c>
      <c r="BB74" s="47" t="s">
        <v>106</v>
      </c>
      <c r="BC74" s="147"/>
      <c r="BD74" s="147"/>
      <c r="BE74" s="215">
        <v>45769</v>
      </c>
      <c r="BF74" s="147"/>
      <c r="BG74" s="147"/>
      <c r="BH74" s="37"/>
      <c r="BI74" s="147"/>
      <c r="BJ74" s="147"/>
      <c r="BK74" s="147"/>
      <c r="BL74" s="269" t="s">
        <v>2201</v>
      </c>
      <c r="BM74" s="47"/>
      <c r="BN74" s="37"/>
      <c r="BO74" s="47">
        <v>2025.05</v>
      </c>
      <c r="BP74" s="147"/>
      <c r="BQ74" s="147"/>
      <c r="BR74" s="47">
        <v>2025.05</v>
      </c>
      <c r="BS74" s="47" t="s">
        <v>111</v>
      </c>
      <c r="BT74" s="37"/>
      <c r="BU74" s="221"/>
      <c r="BV74" s="147"/>
      <c r="BW74" s="147"/>
      <c r="BX74" s="220"/>
    </row>
    <row r="75" ht="29" customHeight="1" spans="1:76">
      <c r="A75" s="7">
        <v>23</v>
      </c>
      <c r="B75" s="47" t="s">
        <v>2202</v>
      </c>
      <c r="C75" s="111" t="s">
        <v>2203</v>
      </c>
      <c r="D75" s="165" t="s">
        <v>102</v>
      </c>
      <c r="E75" s="111" t="s">
        <v>81</v>
      </c>
      <c r="F75" s="47" t="s">
        <v>144</v>
      </c>
      <c r="G75" s="149" t="s">
        <v>1362</v>
      </c>
      <c r="H75" s="18">
        <v>45753</v>
      </c>
      <c r="I75" s="165">
        <v>13044888130</v>
      </c>
      <c r="J75" s="265" t="s">
        <v>2204</v>
      </c>
      <c r="K75" s="58" t="s">
        <v>116</v>
      </c>
      <c r="L75" s="58" t="s">
        <v>2205</v>
      </c>
      <c r="M75" s="47" t="s">
        <v>149</v>
      </c>
      <c r="N75" s="58" t="s">
        <v>2205</v>
      </c>
      <c r="O75" s="32" t="s">
        <v>2206</v>
      </c>
      <c r="P75" s="34">
        <f ca="1" t="shared" si="19"/>
        <v>42</v>
      </c>
      <c r="Q75" s="165">
        <v>0</v>
      </c>
      <c r="R75" s="111" t="s">
        <v>88</v>
      </c>
      <c r="S75" s="47" t="s">
        <v>89</v>
      </c>
      <c r="T75" s="28" t="s">
        <v>90</v>
      </c>
      <c r="U75" s="47" t="s">
        <v>91</v>
      </c>
      <c r="V75" s="47" t="s">
        <v>92</v>
      </c>
      <c r="W75" s="165"/>
      <c r="X75" s="165"/>
      <c r="Y75" s="165"/>
      <c r="Z75" s="165"/>
      <c r="AA75" s="165"/>
      <c r="AB75" s="165"/>
      <c r="AC75" s="165"/>
      <c r="AD75" s="165"/>
      <c r="AE75" s="165"/>
      <c r="AF75" s="111" t="s">
        <v>154</v>
      </c>
      <c r="AG75" s="165"/>
      <c r="AH75" s="165"/>
      <c r="AI75" s="165"/>
      <c r="AJ75" s="165"/>
      <c r="AK75" s="165"/>
      <c r="AL75" s="165"/>
      <c r="AM75" s="165"/>
      <c r="AN75" s="111" t="s">
        <v>99</v>
      </c>
      <c r="AO75" s="58" t="s">
        <v>2205</v>
      </c>
      <c r="AP75" s="165" t="s">
        <v>331</v>
      </c>
      <c r="AQ75" s="47" t="s">
        <v>2207</v>
      </c>
      <c r="AR75" s="165" t="s">
        <v>214</v>
      </c>
      <c r="AS75" s="165"/>
      <c r="AT75" s="165" t="s">
        <v>125</v>
      </c>
      <c r="AU75" s="165" t="s">
        <v>2208</v>
      </c>
      <c r="AV75" s="165" t="s">
        <v>815</v>
      </c>
      <c r="AW75" s="111">
        <v>15926660705</v>
      </c>
      <c r="AX75" s="37" t="s">
        <v>2209</v>
      </c>
      <c r="AY75" s="47">
        <v>1</v>
      </c>
      <c r="AZ75" s="180">
        <v>45753</v>
      </c>
      <c r="BA75" s="180">
        <v>46117</v>
      </c>
      <c r="BB75" s="47" t="s">
        <v>106</v>
      </c>
      <c r="BC75" s="165"/>
      <c r="BD75" s="165"/>
      <c r="BE75" s="216" t="s">
        <v>2210</v>
      </c>
      <c r="BF75" s="165"/>
      <c r="BG75" s="165"/>
      <c r="BH75" s="37" t="s">
        <v>2211</v>
      </c>
      <c r="BI75" s="165"/>
      <c r="BJ75" s="165"/>
      <c r="BK75" s="165"/>
      <c r="BL75" s="286" t="s">
        <v>2212</v>
      </c>
      <c r="BM75" s="47" t="s">
        <v>109</v>
      </c>
      <c r="BN75" s="37" t="s">
        <v>110</v>
      </c>
      <c r="BO75" s="47">
        <v>2025.04</v>
      </c>
      <c r="BP75" s="165"/>
      <c r="BQ75" s="165"/>
      <c r="BR75" s="47">
        <v>2025.04</v>
      </c>
      <c r="BS75" s="47" t="s">
        <v>111</v>
      </c>
      <c r="BT75" s="165"/>
      <c r="BU75" s="208" t="s">
        <v>2213</v>
      </c>
      <c r="BV75" s="165"/>
      <c r="BW75" s="165"/>
      <c r="BX75" s="222" t="s">
        <v>2214</v>
      </c>
    </row>
    <row r="76" ht="29" customHeight="1" spans="1:76">
      <c r="A76" s="7">
        <v>24</v>
      </c>
      <c r="B76" s="47" t="s">
        <v>2062</v>
      </c>
      <c r="C76" s="47" t="s">
        <v>2152</v>
      </c>
      <c r="D76" s="111" t="str">
        <f t="shared" ref="D76:D83" si="20">IF(MOD(MID(J76,17,1),2)=1,"男","女")</f>
        <v>男</v>
      </c>
      <c r="E76" s="47" t="s">
        <v>81</v>
      </c>
      <c r="F76" s="47" t="s">
        <v>144</v>
      </c>
      <c r="G76" s="47" t="s">
        <v>121</v>
      </c>
      <c r="H76" s="123">
        <v>45756</v>
      </c>
      <c r="I76" s="47">
        <v>13477570132</v>
      </c>
      <c r="J76" s="47" t="s">
        <v>2153</v>
      </c>
      <c r="K76" s="47" t="s">
        <v>116</v>
      </c>
      <c r="L76" s="37" t="s">
        <v>2154</v>
      </c>
      <c r="M76" s="47" t="s">
        <v>187</v>
      </c>
      <c r="N76" s="37" t="s">
        <v>2154</v>
      </c>
      <c r="O76" s="32" t="s">
        <v>2155</v>
      </c>
      <c r="P76" s="34">
        <f ca="1" t="shared" si="19"/>
        <v>38</v>
      </c>
      <c r="Q76" s="47">
        <f ca="1" t="shared" ref="Q76:Q83" si="21">IF(H76="","",DATEDIF(H76,TODAY(),"Y"))</f>
        <v>1</v>
      </c>
      <c r="R76" s="47" t="s">
        <v>88</v>
      </c>
      <c r="S76" s="47" t="s">
        <v>89</v>
      </c>
      <c r="T76" s="47" t="s">
        <v>150</v>
      </c>
      <c r="U76" s="47" t="s">
        <v>91</v>
      </c>
      <c r="V76" s="47" t="s">
        <v>92</v>
      </c>
      <c r="W76" s="165"/>
      <c r="X76" s="165"/>
      <c r="Y76" s="149" t="s">
        <v>1070</v>
      </c>
      <c r="Z76" s="165"/>
      <c r="AA76" s="165"/>
      <c r="AB76" s="149" t="s">
        <v>2156</v>
      </c>
      <c r="AC76" s="165"/>
      <c r="AD76" s="165"/>
      <c r="AE76" s="165"/>
      <c r="AF76" s="47" t="s">
        <v>154</v>
      </c>
      <c r="AG76" s="149" t="s">
        <v>2157</v>
      </c>
      <c r="AH76" s="149" t="s">
        <v>2158</v>
      </c>
      <c r="AI76" s="165"/>
      <c r="AJ76" s="165"/>
      <c r="AK76" s="165"/>
      <c r="AL76" s="165"/>
      <c r="AM76" s="165"/>
      <c r="AN76" s="47" t="s">
        <v>194</v>
      </c>
      <c r="AO76" s="37" t="s">
        <v>2159</v>
      </c>
      <c r="AP76" s="47" t="s">
        <v>100</v>
      </c>
      <c r="AQ76" s="47" t="s">
        <v>2160</v>
      </c>
      <c r="AR76" s="47" t="s">
        <v>102</v>
      </c>
      <c r="AS76" s="165"/>
      <c r="AT76" s="149" t="s">
        <v>2161</v>
      </c>
      <c r="AU76" s="47" t="s">
        <v>2160</v>
      </c>
      <c r="AV76" s="47" t="s">
        <v>100</v>
      </c>
      <c r="AW76" s="47">
        <v>13409601189</v>
      </c>
      <c r="AX76" s="37" t="s">
        <v>2215</v>
      </c>
      <c r="AY76" s="47">
        <v>1</v>
      </c>
      <c r="AZ76" s="123">
        <v>45756</v>
      </c>
      <c r="BA76" s="123">
        <v>46120</v>
      </c>
      <c r="BB76" s="47" t="s">
        <v>106</v>
      </c>
      <c r="BC76" s="165"/>
      <c r="BD76" s="165"/>
      <c r="BE76" s="217" t="s">
        <v>2216</v>
      </c>
      <c r="BF76" s="165"/>
      <c r="BG76" s="165"/>
      <c r="BH76" s="37"/>
      <c r="BI76" s="165"/>
      <c r="BJ76" s="165"/>
      <c r="BK76" s="165"/>
      <c r="BL76" s="269" t="s">
        <v>2163</v>
      </c>
      <c r="BM76" s="47" t="s">
        <v>109</v>
      </c>
      <c r="BN76" s="37" t="s">
        <v>110</v>
      </c>
      <c r="BO76" s="47">
        <v>2025.04</v>
      </c>
      <c r="BP76" s="165"/>
      <c r="BQ76" s="165"/>
      <c r="BR76" s="47">
        <v>2025.04</v>
      </c>
      <c r="BS76" s="47" t="s">
        <v>111</v>
      </c>
      <c r="BT76" s="47">
        <v>519</v>
      </c>
      <c r="BU76" s="63" t="s">
        <v>1431</v>
      </c>
      <c r="BV76" s="165"/>
      <c r="BW76" s="165"/>
      <c r="BX76" s="223" t="s">
        <v>2216</v>
      </c>
    </row>
    <row r="77" s="103" customFormat="1" ht="61" spans="1:76">
      <c r="A77" s="7">
        <v>25</v>
      </c>
      <c r="B77" s="47" t="s">
        <v>1370</v>
      </c>
      <c r="C77" s="111" t="s">
        <v>2217</v>
      </c>
      <c r="D77" s="111" t="str">
        <f t="shared" si="20"/>
        <v>男</v>
      </c>
      <c r="E77" s="47" t="s">
        <v>81</v>
      </c>
      <c r="F77" s="47" t="s">
        <v>144</v>
      </c>
      <c r="G77" s="117" t="s">
        <v>1045</v>
      </c>
      <c r="H77" s="18">
        <v>45531</v>
      </c>
      <c r="I77" s="111">
        <v>18674235861</v>
      </c>
      <c r="J77" s="265" t="s">
        <v>2218</v>
      </c>
      <c r="K77" s="28" t="s">
        <v>1519</v>
      </c>
      <c r="L77" s="58" t="s">
        <v>2219</v>
      </c>
      <c r="M77" s="47" t="s">
        <v>149</v>
      </c>
      <c r="N77" s="58" t="s">
        <v>2219</v>
      </c>
      <c r="O77" s="32" t="str">
        <f t="shared" ref="O77:O83" si="22">TEXT(MID(J77,7,8),"0-00-00")</f>
        <v>1976-11-23</v>
      </c>
      <c r="P77" s="34">
        <f ca="1" t="shared" si="19"/>
        <v>50</v>
      </c>
      <c r="Q77" s="47">
        <f ca="1" t="shared" si="21"/>
        <v>1</v>
      </c>
      <c r="R77" s="28" t="s">
        <v>88</v>
      </c>
      <c r="S77" s="47" t="s">
        <v>89</v>
      </c>
      <c r="T77" s="28" t="s">
        <v>90</v>
      </c>
      <c r="U77" s="47" t="s">
        <v>91</v>
      </c>
      <c r="V77" s="47" t="s">
        <v>92</v>
      </c>
      <c r="W77" s="47"/>
      <c r="X77" s="47"/>
      <c r="Y77" s="37" t="s">
        <v>2220</v>
      </c>
      <c r="Z77" s="47">
        <v>2024.7</v>
      </c>
      <c r="AA77" s="47">
        <v>2024.8</v>
      </c>
      <c r="AB77" s="47" t="s">
        <v>2221</v>
      </c>
      <c r="AC77" s="47"/>
      <c r="AD77" s="47"/>
      <c r="AE77" s="47"/>
      <c r="AF77" s="28" t="s">
        <v>208</v>
      </c>
      <c r="AG77" s="37" t="s">
        <v>2222</v>
      </c>
      <c r="AH77" s="28" t="s">
        <v>1086</v>
      </c>
      <c r="AI77" s="47">
        <v>1994.9</v>
      </c>
      <c r="AJ77" s="47">
        <v>1996.7</v>
      </c>
      <c r="AK77" s="47"/>
      <c r="AL77" s="47"/>
      <c r="AM77" s="47"/>
      <c r="AN77" s="111" t="s">
        <v>99</v>
      </c>
      <c r="AO77" s="58" t="s">
        <v>2219</v>
      </c>
      <c r="AP77" s="47" t="s">
        <v>212</v>
      </c>
      <c r="AQ77" s="47" t="s">
        <v>2223</v>
      </c>
      <c r="AR77" s="47" t="s">
        <v>214</v>
      </c>
      <c r="AS77" s="47">
        <v>38</v>
      </c>
      <c r="AT77" s="47" t="s">
        <v>178</v>
      </c>
      <c r="AU77" s="47" t="s">
        <v>2223</v>
      </c>
      <c r="AV77" s="47" t="s">
        <v>104</v>
      </c>
      <c r="AW77" s="28">
        <v>13545480306</v>
      </c>
      <c r="AX77" s="175" t="s">
        <v>756</v>
      </c>
      <c r="AY77" s="47">
        <v>0</v>
      </c>
      <c r="AZ77" s="122">
        <v>45627</v>
      </c>
      <c r="BA77" s="123">
        <v>45991</v>
      </c>
      <c r="BB77" s="47" t="s">
        <v>2224</v>
      </c>
      <c r="BC77" s="47"/>
      <c r="BD77" s="47"/>
      <c r="BE77" s="189">
        <v>45777</v>
      </c>
      <c r="BF77" s="37"/>
      <c r="BG77" s="47"/>
      <c r="BH77" s="37"/>
      <c r="BI77" s="37"/>
      <c r="BJ77" s="37"/>
      <c r="BK77" s="47"/>
      <c r="BL77" s="268" t="s">
        <v>2225</v>
      </c>
      <c r="BM77" s="47" t="s">
        <v>109</v>
      </c>
      <c r="BN77" s="37" t="s">
        <v>110</v>
      </c>
      <c r="BO77" s="197">
        <v>2024.12</v>
      </c>
      <c r="BP77" s="58"/>
      <c r="BQ77" s="37"/>
      <c r="BR77" s="197">
        <v>2024.12</v>
      </c>
      <c r="BS77" s="47" t="s">
        <v>111</v>
      </c>
      <c r="BT77" s="47">
        <v>504</v>
      </c>
      <c r="BU77" s="206" t="s">
        <v>164</v>
      </c>
      <c r="BV77" s="47"/>
      <c r="BW77" s="47"/>
      <c r="BX77" s="207"/>
    </row>
    <row r="78" s="106" customFormat="1" ht="61" spans="1:77">
      <c r="A78" s="7">
        <v>26</v>
      </c>
      <c r="B78" s="47" t="s">
        <v>1466</v>
      </c>
      <c r="C78" s="37" t="s">
        <v>1467</v>
      </c>
      <c r="D78" s="58" t="s">
        <v>214</v>
      </c>
      <c r="E78" s="37" t="s">
        <v>139</v>
      </c>
      <c r="F78" s="37" t="s">
        <v>144</v>
      </c>
      <c r="G78" s="37" t="s">
        <v>1468</v>
      </c>
      <c r="H78" s="175">
        <v>45761</v>
      </c>
      <c r="I78" s="37">
        <v>13971354070</v>
      </c>
      <c r="J78" s="37" t="s">
        <v>1469</v>
      </c>
      <c r="K78" s="47" t="s">
        <v>116</v>
      </c>
      <c r="L78" s="37" t="s">
        <v>1470</v>
      </c>
      <c r="M78" s="47" t="s">
        <v>149</v>
      </c>
      <c r="N78" s="37" t="s">
        <v>1470</v>
      </c>
      <c r="O78" s="32" t="str">
        <f t="shared" si="22"/>
        <v>1996-08-24</v>
      </c>
      <c r="P78" s="34">
        <f ca="1" t="shared" si="19"/>
        <v>30</v>
      </c>
      <c r="Q78" s="47">
        <f ca="1" t="shared" si="21"/>
        <v>1</v>
      </c>
      <c r="R78" s="37" t="s">
        <v>88</v>
      </c>
      <c r="S78" s="47" t="s">
        <v>89</v>
      </c>
      <c r="T78" s="47" t="s">
        <v>90</v>
      </c>
      <c r="U78" s="37" t="s">
        <v>91</v>
      </c>
      <c r="V78" s="37" t="s">
        <v>92</v>
      </c>
      <c r="W78" s="147"/>
      <c r="X78" s="147"/>
      <c r="Y78" s="213" t="s">
        <v>1471</v>
      </c>
      <c r="Z78" s="147"/>
      <c r="AA78" s="147"/>
      <c r="AB78" s="213" t="s">
        <v>1472</v>
      </c>
      <c r="AC78" s="147"/>
      <c r="AD78" s="147"/>
      <c r="AE78" s="147"/>
      <c r="AF78" s="37" t="s">
        <v>406</v>
      </c>
      <c r="AG78" s="213" t="s">
        <v>1473</v>
      </c>
      <c r="AH78" s="213" t="s">
        <v>1474</v>
      </c>
      <c r="AI78" s="147"/>
      <c r="AJ78" s="147"/>
      <c r="AK78" s="147"/>
      <c r="AL78" s="147"/>
      <c r="AM78" s="147"/>
      <c r="AN78" s="47" t="s">
        <v>194</v>
      </c>
      <c r="AO78" s="37" t="s">
        <v>1470</v>
      </c>
      <c r="AP78" s="47" t="s">
        <v>100</v>
      </c>
      <c r="AQ78" s="37" t="s">
        <v>1475</v>
      </c>
      <c r="AR78" s="37" t="s">
        <v>102</v>
      </c>
      <c r="AS78" s="147"/>
      <c r="AT78" s="213"/>
      <c r="AU78" s="37" t="s">
        <v>1475</v>
      </c>
      <c r="AV78" s="47" t="s">
        <v>100</v>
      </c>
      <c r="AW78" s="37">
        <v>13971848322</v>
      </c>
      <c r="AX78" s="37" t="s">
        <v>1476</v>
      </c>
      <c r="AY78" s="47">
        <v>1</v>
      </c>
      <c r="AZ78" s="123">
        <v>45761</v>
      </c>
      <c r="BA78" s="123">
        <v>46125</v>
      </c>
      <c r="BB78" s="47" t="s">
        <v>106</v>
      </c>
      <c r="BC78" s="147"/>
      <c r="BD78" s="147"/>
      <c r="BE78" s="175">
        <v>45821</v>
      </c>
      <c r="BF78" s="147" t="s">
        <v>786</v>
      </c>
      <c r="BG78" s="147"/>
      <c r="BH78" s="37"/>
      <c r="BI78" s="147"/>
      <c r="BJ78" s="147"/>
      <c r="BK78" s="147"/>
      <c r="BL78" s="269" t="s">
        <v>1477</v>
      </c>
      <c r="BM78" s="47" t="s">
        <v>109</v>
      </c>
      <c r="BN78" s="37" t="s">
        <v>110</v>
      </c>
      <c r="BO78" s="47">
        <v>2025.05</v>
      </c>
      <c r="BP78" s="147"/>
      <c r="BQ78" s="147"/>
      <c r="BR78" s="47">
        <v>2025.05</v>
      </c>
      <c r="BS78" s="47" t="s">
        <v>111</v>
      </c>
      <c r="BT78" s="37">
        <v>504</v>
      </c>
      <c r="BU78" s="221" t="s">
        <v>1431</v>
      </c>
      <c r="BV78" s="147"/>
      <c r="BW78" s="147"/>
      <c r="BX78" s="220" t="s">
        <v>1465</v>
      </c>
      <c r="BY78" s="105"/>
    </row>
    <row r="79" s="103" customFormat="1" ht="30.75" customHeight="1" spans="1:79">
      <c r="A79" s="7">
        <v>27</v>
      </c>
      <c r="B79" s="47" t="s">
        <v>1311</v>
      </c>
      <c r="C79" s="47" t="s">
        <v>1312</v>
      </c>
      <c r="D79" s="111" t="str">
        <f t="shared" si="20"/>
        <v>男</v>
      </c>
      <c r="E79" s="47" t="s">
        <v>1313</v>
      </c>
      <c r="F79" s="47" t="s">
        <v>144</v>
      </c>
      <c r="G79" s="47" t="s">
        <v>1314</v>
      </c>
      <c r="H79" s="123">
        <v>45488</v>
      </c>
      <c r="I79" s="47">
        <v>15571362032</v>
      </c>
      <c r="J79" s="270" t="s">
        <v>1315</v>
      </c>
      <c r="K79" s="47" t="s">
        <v>1316</v>
      </c>
      <c r="L79" s="37" t="s">
        <v>1317</v>
      </c>
      <c r="M79" s="47" t="s">
        <v>187</v>
      </c>
      <c r="N79" s="149" t="s">
        <v>1318</v>
      </c>
      <c r="O79" s="32" t="str">
        <f t="shared" si="22"/>
        <v>2002-06-23</v>
      </c>
      <c r="P79" s="34">
        <f ca="1" t="shared" si="19"/>
        <v>24</v>
      </c>
      <c r="Q79" s="47">
        <f ca="1" t="shared" si="21"/>
        <v>1</v>
      </c>
      <c r="R79" s="47" t="s">
        <v>88</v>
      </c>
      <c r="S79" s="47" t="s">
        <v>89</v>
      </c>
      <c r="T79" s="47" t="s">
        <v>1286</v>
      </c>
      <c r="U79" s="47" t="s">
        <v>91</v>
      </c>
      <c r="V79" s="47" t="s">
        <v>92</v>
      </c>
      <c r="W79" s="47"/>
      <c r="X79" s="47"/>
      <c r="Y79" s="47"/>
      <c r="Z79" s="47"/>
      <c r="AA79" s="47"/>
      <c r="AB79" s="47"/>
      <c r="AC79" s="47"/>
      <c r="AD79" s="47"/>
      <c r="AE79" s="47"/>
      <c r="AF79" s="47" t="s">
        <v>406</v>
      </c>
      <c r="AG79" s="47" t="s">
        <v>1319</v>
      </c>
      <c r="AH79" s="47" t="s">
        <v>1288</v>
      </c>
      <c r="AI79" s="47">
        <v>2020.9</v>
      </c>
      <c r="AJ79" s="47">
        <v>2024.6</v>
      </c>
      <c r="AK79" s="47"/>
      <c r="AL79" s="47"/>
      <c r="AM79" s="47"/>
      <c r="AN79" s="47" t="s">
        <v>194</v>
      </c>
      <c r="AO79" s="47" t="s">
        <v>1318</v>
      </c>
      <c r="AP79" s="47" t="s">
        <v>815</v>
      </c>
      <c r="AQ79" s="47" t="s">
        <v>1320</v>
      </c>
      <c r="AR79" s="47" t="s">
        <v>214</v>
      </c>
      <c r="AS79" s="47">
        <v>46</v>
      </c>
      <c r="AT79" s="47"/>
      <c r="AU79" s="47" t="s">
        <v>1320</v>
      </c>
      <c r="AV79" s="47" t="s">
        <v>197</v>
      </c>
      <c r="AW79" s="47">
        <v>13828879053</v>
      </c>
      <c r="AX79" s="37" t="s">
        <v>1321</v>
      </c>
      <c r="AY79" s="47">
        <v>1</v>
      </c>
      <c r="AZ79" s="123">
        <v>45580</v>
      </c>
      <c r="BA79" s="123">
        <v>45944</v>
      </c>
      <c r="BB79" s="47" t="s">
        <v>1322</v>
      </c>
      <c r="BC79" s="47"/>
      <c r="BD79" s="47"/>
      <c r="BE79" s="123">
        <v>45836</v>
      </c>
      <c r="BF79" s="47" t="s">
        <v>2226</v>
      </c>
      <c r="BG79" s="47"/>
      <c r="BH79" s="37" t="s">
        <v>1323</v>
      </c>
      <c r="BI79" s="47"/>
      <c r="BJ79" s="47"/>
      <c r="BK79" s="47"/>
      <c r="BL79" s="269" t="s">
        <v>1324</v>
      </c>
      <c r="BM79" s="47" t="s">
        <v>109</v>
      </c>
      <c r="BN79" s="37" t="s">
        <v>110</v>
      </c>
      <c r="BO79" s="47">
        <v>2024.11</v>
      </c>
      <c r="BP79" s="47"/>
      <c r="BQ79" s="47"/>
      <c r="BR79" s="47">
        <v>2024.11</v>
      </c>
      <c r="BS79" s="47" t="s">
        <v>111</v>
      </c>
      <c r="BT79" s="47">
        <v>516</v>
      </c>
      <c r="BU79" s="208" t="s">
        <v>1295</v>
      </c>
      <c r="BV79" s="47"/>
      <c r="BW79" s="47"/>
      <c r="BX79" s="123">
        <v>45580</v>
      </c>
      <c r="BY79" s="197">
        <v>2002</v>
      </c>
      <c r="BZ79" s="47">
        <v>6</v>
      </c>
      <c r="CA79" s="47">
        <v>23</v>
      </c>
    </row>
    <row r="80" s="103" customFormat="1" ht="31" customHeight="1" spans="1:79">
      <c r="A80" s="7">
        <v>28</v>
      </c>
      <c r="B80" s="47" t="s">
        <v>220</v>
      </c>
      <c r="C80" s="58" t="s">
        <v>221</v>
      </c>
      <c r="D80" s="111" t="str">
        <f t="shared" si="20"/>
        <v>女</v>
      </c>
      <c r="E80" s="47" t="s">
        <v>139</v>
      </c>
      <c r="F80" s="47" t="s">
        <v>144</v>
      </c>
      <c r="G80" s="116" t="s">
        <v>222</v>
      </c>
      <c r="H80" s="118">
        <v>42309</v>
      </c>
      <c r="I80" s="58">
        <v>13477384826</v>
      </c>
      <c r="J80" s="131" t="s">
        <v>223</v>
      </c>
      <c r="K80" s="28" t="s">
        <v>224</v>
      </c>
      <c r="L80" s="58" t="s">
        <v>225</v>
      </c>
      <c r="M80" s="47" t="s">
        <v>149</v>
      </c>
      <c r="N80" s="58" t="s">
        <v>226</v>
      </c>
      <c r="O80" s="32" t="str">
        <f t="shared" si="22"/>
        <v>1975-06-03</v>
      </c>
      <c r="P80" s="34">
        <f ca="1" t="shared" si="19"/>
        <v>51</v>
      </c>
      <c r="Q80" s="47">
        <f ca="1" t="shared" si="21"/>
        <v>10</v>
      </c>
      <c r="R80" s="28" t="s">
        <v>88</v>
      </c>
      <c r="S80" s="47" t="s">
        <v>89</v>
      </c>
      <c r="T80" s="28" t="s">
        <v>90</v>
      </c>
      <c r="U80" s="47" t="s">
        <v>91</v>
      </c>
      <c r="V80" s="47" t="s">
        <v>92</v>
      </c>
      <c r="W80" s="47"/>
      <c r="X80" s="47"/>
      <c r="Y80" s="37" t="s">
        <v>227</v>
      </c>
      <c r="Z80" s="47">
        <v>2011.3</v>
      </c>
      <c r="AA80" s="65">
        <v>2015.1</v>
      </c>
      <c r="AB80" s="47" t="s">
        <v>228</v>
      </c>
      <c r="AC80" s="47"/>
      <c r="AD80" s="47" t="s">
        <v>229</v>
      </c>
      <c r="AE80" s="47">
        <v>13797974099</v>
      </c>
      <c r="AF80" s="58" t="s">
        <v>96</v>
      </c>
      <c r="AG80" s="37" t="s">
        <v>97</v>
      </c>
      <c r="AH80" s="58"/>
      <c r="AI80" s="47">
        <v>1990.9</v>
      </c>
      <c r="AJ80" s="47">
        <v>1993.7</v>
      </c>
      <c r="AK80" s="47"/>
      <c r="AL80" s="47" t="s">
        <v>230</v>
      </c>
      <c r="AM80" s="47"/>
      <c r="AN80" s="111" t="s">
        <v>99</v>
      </c>
      <c r="AO80" s="58" t="s">
        <v>226</v>
      </c>
      <c r="AP80" s="103" t="s">
        <v>176</v>
      </c>
      <c r="AQ80" s="37" t="s">
        <v>231</v>
      </c>
      <c r="AR80" s="47" t="s">
        <v>102</v>
      </c>
      <c r="AS80" s="47">
        <v>50</v>
      </c>
      <c r="AT80" s="47" t="s">
        <v>232</v>
      </c>
      <c r="AU80" s="47" t="s">
        <v>231</v>
      </c>
      <c r="AV80" s="47" t="s">
        <v>104</v>
      </c>
      <c r="AW80" s="28">
        <v>15971969791</v>
      </c>
      <c r="AX80" s="175" t="s">
        <v>161</v>
      </c>
      <c r="AY80" s="47">
        <v>5</v>
      </c>
      <c r="AZ80" s="177">
        <v>42309</v>
      </c>
      <c r="BA80" s="123">
        <v>45961</v>
      </c>
      <c r="BB80" s="47" t="s">
        <v>233</v>
      </c>
      <c r="BC80" s="47"/>
      <c r="BD80" s="47"/>
      <c r="BE80" s="123">
        <v>45838</v>
      </c>
      <c r="BF80" s="37" t="s">
        <v>619</v>
      </c>
      <c r="BG80" s="47">
        <v>474631118</v>
      </c>
      <c r="BH80" s="37" t="s">
        <v>234</v>
      </c>
      <c r="BI80" s="37"/>
      <c r="BJ80" s="37"/>
      <c r="BK80" s="47"/>
      <c r="BL80" s="268" t="s">
        <v>235</v>
      </c>
      <c r="BM80" s="47" t="s">
        <v>109</v>
      </c>
      <c r="BN80" s="37" t="s">
        <v>110</v>
      </c>
      <c r="BO80" s="47">
        <v>2015.11</v>
      </c>
      <c r="BP80" s="131" t="s">
        <v>236</v>
      </c>
      <c r="BQ80" s="269" t="s">
        <v>237</v>
      </c>
      <c r="BR80" s="47">
        <v>2016.7</v>
      </c>
      <c r="BS80" s="47" t="s">
        <v>111</v>
      </c>
      <c r="BT80" s="47"/>
      <c r="BU80" s="206" t="s">
        <v>164</v>
      </c>
      <c r="BV80" s="47"/>
      <c r="BW80" s="47"/>
      <c r="BX80" s="209">
        <v>42309</v>
      </c>
      <c r="BY80" s="197">
        <v>1975</v>
      </c>
      <c r="BZ80" s="47">
        <v>6</v>
      </c>
      <c r="CA80" s="47">
        <v>3</v>
      </c>
    </row>
    <row r="81" s="103" customFormat="1" ht="31" customHeight="1" spans="1:79">
      <c r="A81" s="7">
        <v>29</v>
      </c>
      <c r="B81" s="47" t="s">
        <v>528</v>
      </c>
      <c r="C81" s="47" t="s">
        <v>529</v>
      </c>
      <c r="D81" s="111" t="str">
        <f t="shared" si="20"/>
        <v>男</v>
      </c>
      <c r="E81" s="47" t="s">
        <v>417</v>
      </c>
      <c r="F81" s="47" t="s">
        <v>144</v>
      </c>
      <c r="G81" s="58" t="s">
        <v>516</v>
      </c>
      <c r="H81" s="123">
        <v>44706</v>
      </c>
      <c r="I81" s="111">
        <v>13597947515</v>
      </c>
      <c r="J81" s="270" t="s">
        <v>530</v>
      </c>
      <c r="K81" s="138" t="s">
        <v>116</v>
      </c>
      <c r="L81" s="37" t="s">
        <v>531</v>
      </c>
      <c r="M81" s="47" t="s">
        <v>149</v>
      </c>
      <c r="N81" s="37" t="s">
        <v>532</v>
      </c>
      <c r="O81" s="32" t="str">
        <f t="shared" si="22"/>
        <v>1987-09-03</v>
      </c>
      <c r="P81" s="34">
        <f ca="1" t="shared" si="19"/>
        <v>39</v>
      </c>
      <c r="Q81" s="47">
        <f ca="1" t="shared" si="21"/>
        <v>4</v>
      </c>
      <c r="R81" s="28" t="s">
        <v>88</v>
      </c>
      <c r="S81" s="47" t="s">
        <v>89</v>
      </c>
      <c r="T81" s="111" t="s">
        <v>90</v>
      </c>
      <c r="U81" s="47" t="s">
        <v>91</v>
      </c>
      <c r="V81" s="47" t="s">
        <v>92</v>
      </c>
      <c r="W81" s="47"/>
      <c r="X81" s="47"/>
      <c r="Y81" s="47" t="s">
        <v>533</v>
      </c>
      <c r="Z81" s="47">
        <v>2005</v>
      </c>
      <c r="AA81" s="47">
        <v>2022</v>
      </c>
      <c r="AB81" s="47" t="s">
        <v>534</v>
      </c>
      <c r="AC81" s="47"/>
      <c r="AD81" s="47"/>
      <c r="AE81" s="47"/>
      <c r="AF81" s="47" t="s">
        <v>122</v>
      </c>
      <c r="AG81" s="37" t="s">
        <v>535</v>
      </c>
      <c r="AH81" s="47"/>
      <c r="AI81" s="47">
        <v>2000.9</v>
      </c>
      <c r="AJ81" s="47">
        <v>2003.7</v>
      </c>
      <c r="AK81" s="47"/>
      <c r="AL81" s="47" t="s">
        <v>536</v>
      </c>
      <c r="AM81" s="47"/>
      <c r="AN81" s="111" t="s">
        <v>99</v>
      </c>
      <c r="AO81" s="37" t="s">
        <v>532</v>
      </c>
      <c r="AP81" s="37" t="s">
        <v>212</v>
      </c>
      <c r="AQ81" s="47" t="s">
        <v>537</v>
      </c>
      <c r="AR81" s="47" t="s">
        <v>214</v>
      </c>
      <c r="AS81" s="47">
        <v>35</v>
      </c>
      <c r="AT81" s="47" t="s">
        <v>538</v>
      </c>
      <c r="AU81" s="47" t="s">
        <v>537</v>
      </c>
      <c r="AV81" s="47" t="s">
        <v>104</v>
      </c>
      <c r="AW81" s="111">
        <v>13451209997</v>
      </c>
      <c r="AX81" s="37" t="s">
        <v>216</v>
      </c>
      <c r="AY81" s="47">
        <v>2</v>
      </c>
      <c r="AZ81" s="123">
        <v>44774</v>
      </c>
      <c r="BA81" s="123">
        <v>45869</v>
      </c>
      <c r="BB81" s="47" t="s">
        <v>106</v>
      </c>
      <c r="BC81" s="47"/>
      <c r="BD81" s="47"/>
      <c r="BE81" s="175" t="s">
        <v>2227</v>
      </c>
      <c r="BF81" s="37" t="s">
        <v>2228</v>
      </c>
      <c r="BG81" s="47"/>
      <c r="BH81" s="37" t="s">
        <v>539</v>
      </c>
      <c r="BI81" s="37"/>
      <c r="BJ81" s="37"/>
      <c r="BK81" s="47"/>
      <c r="BL81" s="268" t="s">
        <v>540</v>
      </c>
      <c r="BM81" s="47" t="s">
        <v>109</v>
      </c>
      <c r="BN81" s="37" t="s">
        <v>110</v>
      </c>
      <c r="BO81" s="47">
        <v>2022.8</v>
      </c>
      <c r="BP81" s="58" t="s">
        <v>541</v>
      </c>
      <c r="BQ81" s="37" t="s">
        <v>542</v>
      </c>
      <c r="BR81" s="47">
        <v>2022.8</v>
      </c>
      <c r="BS81" s="47" t="s">
        <v>111</v>
      </c>
      <c r="BT81" s="47"/>
      <c r="BU81" s="206" t="s">
        <v>382</v>
      </c>
      <c r="BV81" s="47"/>
      <c r="BW81" s="47"/>
      <c r="BX81" s="180">
        <v>44774</v>
      </c>
      <c r="BY81" s="197">
        <v>1987</v>
      </c>
      <c r="BZ81" s="47">
        <v>9</v>
      </c>
      <c r="CA81" s="47">
        <v>3</v>
      </c>
    </row>
    <row r="82" s="103" customFormat="1" ht="31" customHeight="1" spans="1:79">
      <c r="A82" s="7">
        <v>30</v>
      </c>
      <c r="B82" s="47" t="s">
        <v>1035</v>
      </c>
      <c r="C82" s="47" t="s">
        <v>1036</v>
      </c>
      <c r="D82" s="111" t="str">
        <f t="shared" si="20"/>
        <v>男</v>
      </c>
      <c r="E82" s="47" t="s">
        <v>81</v>
      </c>
      <c r="F82" s="47" t="s">
        <v>144</v>
      </c>
      <c r="G82" s="37" t="s">
        <v>956</v>
      </c>
      <c r="H82" s="123">
        <v>44828</v>
      </c>
      <c r="I82" s="47">
        <v>18086278485</v>
      </c>
      <c r="J82" s="270" t="s">
        <v>1037</v>
      </c>
      <c r="K82" s="28" t="s">
        <v>293</v>
      </c>
      <c r="L82" s="58" t="s">
        <v>1038</v>
      </c>
      <c r="M82" s="47" t="s">
        <v>149</v>
      </c>
      <c r="N82" s="58" t="s">
        <v>1039</v>
      </c>
      <c r="O82" s="32" t="str">
        <f t="shared" si="22"/>
        <v>1974-07-11</v>
      </c>
      <c r="P82" s="34">
        <f ca="1" t="shared" si="19"/>
        <v>52</v>
      </c>
      <c r="Q82" s="47">
        <f ca="1" t="shared" si="21"/>
        <v>3</v>
      </c>
      <c r="R82" s="28" t="s">
        <v>88</v>
      </c>
      <c r="S82" s="47" t="s">
        <v>89</v>
      </c>
      <c r="T82" s="111" t="s">
        <v>90</v>
      </c>
      <c r="U82" s="47" t="s">
        <v>91</v>
      </c>
      <c r="V82" s="47" t="s">
        <v>92</v>
      </c>
      <c r="W82" s="47"/>
      <c r="X82" s="47"/>
      <c r="Y82" s="37" t="s">
        <v>1040</v>
      </c>
      <c r="Z82" s="47">
        <v>2020.4</v>
      </c>
      <c r="AA82" s="47">
        <v>2020.11</v>
      </c>
      <c r="AB82" s="47" t="s">
        <v>121</v>
      </c>
      <c r="AC82" s="47"/>
      <c r="AD82" s="47"/>
      <c r="AE82" s="47"/>
      <c r="AF82" s="47" t="s">
        <v>122</v>
      </c>
      <c r="AG82" s="37" t="s">
        <v>535</v>
      </c>
      <c r="AH82" s="47"/>
      <c r="AI82" s="47"/>
      <c r="AJ82" s="47"/>
      <c r="AK82" s="47"/>
      <c r="AL82" s="47"/>
      <c r="AM82" s="47"/>
      <c r="AN82" s="111" t="s">
        <v>99</v>
      </c>
      <c r="AO82" s="58" t="s">
        <v>1039</v>
      </c>
      <c r="AP82" s="37" t="s">
        <v>212</v>
      </c>
      <c r="AQ82" s="47" t="s">
        <v>1041</v>
      </c>
      <c r="AR82" s="47" t="s">
        <v>214</v>
      </c>
      <c r="AS82" s="47">
        <v>50</v>
      </c>
      <c r="AT82" s="47" t="s">
        <v>445</v>
      </c>
      <c r="AU82" s="47" t="s">
        <v>1041</v>
      </c>
      <c r="AV82" s="47" t="s">
        <v>104</v>
      </c>
      <c r="AW82" s="47">
        <v>13367231485</v>
      </c>
      <c r="AX82" s="37" t="s">
        <v>287</v>
      </c>
      <c r="AY82" s="47">
        <v>3</v>
      </c>
      <c r="AZ82" s="123">
        <v>44927</v>
      </c>
      <c r="BA82" s="123">
        <v>46022</v>
      </c>
      <c r="BB82" s="47" t="s">
        <v>106</v>
      </c>
      <c r="BC82" s="47"/>
      <c r="BD82" s="47"/>
      <c r="BE82" s="123">
        <v>45876</v>
      </c>
      <c r="BF82" s="37" t="s">
        <v>2229</v>
      </c>
      <c r="BG82" s="47"/>
      <c r="BH82" s="37"/>
      <c r="BI82" s="37"/>
      <c r="BJ82" s="37"/>
      <c r="BK82" s="47"/>
      <c r="BL82" s="268" t="s">
        <v>1042</v>
      </c>
      <c r="BM82" s="47" t="s">
        <v>109</v>
      </c>
      <c r="BN82" s="37" t="s">
        <v>110</v>
      </c>
      <c r="BO82" s="47">
        <v>2023.7</v>
      </c>
      <c r="BP82" s="58"/>
      <c r="BQ82" s="37"/>
      <c r="BR82" s="47">
        <v>2023.7</v>
      </c>
      <c r="BS82" s="47" t="s">
        <v>111</v>
      </c>
      <c r="BT82" s="47"/>
      <c r="BU82" s="206" t="s">
        <v>775</v>
      </c>
      <c r="BV82" s="47"/>
      <c r="BW82" s="47"/>
      <c r="BX82" s="180">
        <v>44927</v>
      </c>
      <c r="BY82" s="197">
        <v>1974</v>
      </c>
      <c r="BZ82" s="47">
        <v>7</v>
      </c>
      <c r="CA82" s="47">
        <v>11</v>
      </c>
    </row>
    <row r="83" s="103" customFormat="1" ht="31" customHeight="1" spans="1:79">
      <c r="A83" s="7">
        <v>31</v>
      </c>
      <c r="B83" s="47" t="s">
        <v>1210</v>
      </c>
      <c r="C83" s="111" t="s">
        <v>1211</v>
      </c>
      <c r="D83" s="111" t="str">
        <f t="shared" si="20"/>
        <v>女</v>
      </c>
      <c r="E83" s="47" t="s">
        <v>398</v>
      </c>
      <c r="F83" s="47" t="s">
        <v>144</v>
      </c>
      <c r="G83" s="37" t="s">
        <v>399</v>
      </c>
      <c r="H83" s="122">
        <v>44379</v>
      </c>
      <c r="I83" s="111">
        <v>15527238623</v>
      </c>
      <c r="J83" s="265" t="s">
        <v>1212</v>
      </c>
      <c r="K83" s="111" t="s">
        <v>116</v>
      </c>
      <c r="L83" s="58" t="s">
        <v>1213</v>
      </c>
      <c r="M83" s="47" t="s">
        <v>149</v>
      </c>
      <c r="N83" s="58" t="s">
        <v>520</v>
      </c>
      <c r="O83" s="32" t="str">
        <f t="shared" si="22"/>
        <v>1984-09-29</v>
      </c>
      <c r="P83" s="34">
        <f ca="1" t="shared" si="19"/>
        <v>42</v>
      </c>
      <c r="Q83" s="47">
        <f ca="1" t="shared" si="21"/>
        <v>4</v>
      </c>
      <c r="R83" s="28" t="s">
        <v>88</v>
      </c>
      <c r="S83" s="47" t="s">
        <v>89</v>
      </c>
      <c r="T83" s="111" t="s">
        <v>90</v>
      </c>
      <c r="U83" s="47" t="s">
        <v>91</v>
      </c>
      <c r="V83" s="47" t="s">
        <v>92</v>
      </c>
      <c r="W83" s="47"/>
      <c r="X83" s="47"/>
      <c r="Y83" s="37" t="s">
        <v>1214</v>
      </c>
      <c r="Z83" s="47">
        <v>2021.3</v>
      </c>
      <c r="AA83" s="47">
        <v>2021.6</v>
      </c>
      <c r="AB83" s="47" t="s">
        <v>1215</v>
      </c>
      <c r="AC83" s="47"/>
      <c r="AD83" s="47" t="s">
        <v>1216</v>
      </c>
      <c r="AE83" s="47">
        <v>13972864767</v>
      </c>
      <c r="AF83" s="111" t="s">
        <v>96</v>
      </c>
      <c r="AG83" s="37" t="s">
        <v>587</v>
      </c>
      <c r="AH83" s="28" t="s">
        <v>1217</v>
      </c>
      <c r="AI83" s="47">
        <v>2000.9</v>
      </c>
      <c r="AJ83" s="47">
        <v>2023.6</v>
      </c>
      <c r="AK83" s="47"/>
      <c r="AL83" s="47"/>
      <c r="AM83" s="47"/>
      <c r="AN83" s="111" t="s">
        <v>99</v>
      </c>
      <c r="AO83" s="58" t="s">
        <v>520</v>
      </c>
      <c r="AP83" s="37" t="s">
        <v>176</v>
      </c>
      <c r="AQ83" s="47" t="s">
        <v>1218</v>
      </c>
      <c r="AR83" s="47" t="s">
        <v>102</v>
      </c>
      <c r="AS83" s="47">
        <v>43</v>
      </c>
      <c r="AT83" s="47" t="s">
        <v>178</v>
      </c>
      <c r="AU83" s="47" t="s">
        <v>1219</v>
      </c>
      <c r="AV83" s="47" t="s">
        <v>350</v>
      </c>
      <c r="AW83" s="214">
        <v>13451198876</v>
      </c>
      <c r="AX83" s="37" t="s">
        <v>2230</v>
      </c>
      <c r="AY83" s="47">
        <v>5</v>
      </c>
      <c r="AZ83" s="122">
        <v>44379</v>
      </c>
      <c r="BA83" s="123">
        <v>46204</v>
      </c>
      <c r="BB83" s="47" t="s">
        <v>106</v>
      </c>
      <c r="BC83" s="47"/>
      <c r="BD83" s="47"/>
      <c r="BE83" s="123">
        <v>45930</v>
      </c>
      <c r="BF83" s="37" t="s">
        <v>2231</v>
      </c>
      <c r="BG83" s="47"/>
      <c r="BH83" s="37" t="s">
        <v>1220</v>
      </c>
      <c r="BI83" s="37"/>
      <c r="BJ83" s="37"/>
      <c r="BK83" s="47"/>
      <c r="BL83" s="268" t="s">
        <v>1221</v>
      </c>
      <c r="BM83" s="47" t="s">
        <v>109</v>
      </c>
      <c r="BN83" s="37" t="s">
        <v>110</v>
      </c>
      <c r="BO83" s="65">
        <v>2021.1</v>
      </c>
      <c r="BP83" s="58" t="s">
        <v>1222</v>
      </c>
      <c r="BQ83" s="37" t="s">
        <v>1223</v>
      </c>
      <c r="BR83" s="65">
        <v>2021.1</v>
      </c>
      <c r="BS83" s="47" t="s">
        <v>111</v>
      </c>
      <c r="BT83" s="47"/>
      <c r="BU83" s="206" t="s">
        <v>164</v>
      </c>
      <c r="BV83" s="47"/>
      <c r="BW83" s="47"/>
      <c r="BX83" s="207">
        <v>44470</v>
      </c>
      <c r="BY83" s="197">
        <v>1984</v>
      </c>
      <c r="BZ83" s="47">
        <v>9</v>
      </c>
      <c r="CA83" s="47">
        <v>29</v>
      </c>
    </row>
    <row r="84" spans="58:58">
      <c r="BF84" s="104"/>
    </row>
    <row r="85" customFormat="1" ht="26" customHeight="1" spans="1:76">
      <c r="A85" s="11"/>
      <c r="B85" s="12" t="s">
        <v>2232</v>
      </c>
      <c r="C85" s="13"/>
      <c r="D85" s="13"/>
      <c r="E85" s="22"/>
      <c r="F85" s="13"/>
      <c r="G85" s="31"/>
      <c r="H85" s="13"/>
      <c r="I85" s="13"/>
      <c r="J85" s="13"/>
      <c r="K85" s="13"/>
      <c r="L85" s="31"/>
      <c r="M85" s="13"/>
      <c r="N85" s="31"/>
      <c r="O85" s="13"/>
      <c r="P85" s="13"/>
      <c r="Q85" s="13"/>
      <c r="R85" s="13"/>
      <c r="S85" s="13"/>
      <c r="T85" s="13"/>
      <c r="U85" s="35"/>
      <c r="V85" s="12" t="s">
        <v>1</v>
      </c>
      <c r="W85" s="22"/>
      <c r="X85" s="35"/>
      <c r="Y85" s="38" t="s">
        <v>2</v>
      </c>
      <c r="Z85" s="13"/>
      <c r="AA85" s="13"/>
      <c r="AB85" s="13"/>
      <c r="AC85" s="13"/>
      <c r="AD85" s="13"/>
      <c r="AE85" s="13"/>
      <c r="AF85" s="12" t="s">
        <v>3</v>
      </c>
      <c r="AG85" s="31"/>
      <c r="AH85" s="13"/>
      <c r="AI85" s="13"/>
      <c r="AJ85" s="13"/>
      <c r="AK85" s="13"/>
      <c r="AL85" s="13"/>
      <c r="AM85" s="35"/>
      <c r="AN85" s="12" t="s">
        <v>4</v>
      </c>
      <c r="AO85" s="13"/>
      <c r="AP85" s="13"/>
      <c r="AQ85" s="13"/>
      <c r="AR85" s="13"/>
      <c r="AS85" s="13"/>
      <c r="AT85" s="13"/>
      <c r="AU85" s="13"/>
      <c r="AV85" s="13"/>
      <c r="AW85" s="13"/>
      <c r="AX85" s="56" t="s">
        <v>5</v>
      </c>
      <c r="AY85" s="13"/>
      <c r="AZ85" s="13"/>
      <c r="BA85" s="13"/>
      <c r="BB85" s="13"/>
      <c r="BC85" s="13"/>
      <c r="BD85" s="13"/>
      <c r="BE85" s="57"/>
      <c r="BF85" s="13"/>
      <c r="BG85" s="13"/>
      <c r="BH85" s="35"/>
      <c r="BI85" s="56" t="s">
        <v>6</v>
      </c>
      <c r="BJ85" s="57"/>
      <c r="BK85" s="57"/>
      <c r="BL85" s="57"/>
      <c r="BM85" s="57"/>
      <c r="BN85" s="57"/>
      <c r="BO85" s="57"/>
      <c r="BP85" s="57"/>
      <c r="BQ85" s="57"/>
      <c r="BR85" s="60"/>
      <c r="BS85" s="61" t="s">
        <v>7</v>
      </c>
      <c r="BT85" s="61"/>
      <c r="BU85" s="61"/>
      <c r="BV85" s="61"/>
      <c r="BW85" s="61"/>
      <c r="BX85" s="165" t="s">
        <v>130</v>
      </c>
    </row>
    <row r="86" s="100" customFormat="1" ht="30" customHeight="1" spans="1:76">
      <c r="A86" s="108" t="s">
        <v>8</v>
      </c>
      <c r="B86" s="109" t="s">
        <v>9</v>
      </c>
      <c r="C86" s="109" t="s">
        <v>10</v>
      </c>
      <c r="D86" s="109" t="s">
        <v>11</v>
      </c>
      <c r="E86" s="109" t="s">
        <v>12</v>
      </c>
      <c r="F86" s="109" t="s">
        <v>13</v>
      </c>
      <c r="G86" s="72" t="s">
        <v>14</v>
      </c>
      <c r="H86" s="109" t="s">
        <v>15</v>
      </c>
      <c r="I86" s="109" t="s">
        <v>16</v>
      </c>
      <c r="J86" s="109" t="s">
        <v>17</v>
      </c>
      <c r="K86" s="109" t="s">
        <v>18</v>
      </c>
      <c r="L86" s="72" t="s">
        <v>19</v>
      </c>
      <c r="M86" s="109" t="s">
        <v>20</v>
      </c>
      <c r="N86" s="72" t="s">
        <v>21</v>
      </c>
      <c r="O86" s="109" t="s">
        <v>22</v>
      </c>
      <c r="P86" s="109" t="s">
        <v>23</v>
      </c>
      <c r="Q86" s="109" t="s">
        <v>24</v>
      </c>
      <c r="R86" s="109" t="s">
        <v>25</v>
      </c>
      <c r="S86" s="109" t="s">
        <v>26</v>
      </c>
      <c r="T86" s="72" t="s">
        <v>132</v>
      </c>
      <c r="U86" s="109" t="s">
        <v>28</v>
      </c>
      <c r="V86" s="109" t="s">
        <v>29</v>
      </c>
      <c r="W86" s="109" t="s">
        <v>30</v>
      </c>
      <c r="X86" s="109" t="s">
        <v>31</v>
      </c>
      <c r="Y86" s="147" t="s">
        <v>32</v>
      </c>
      <c r="Z86" s="109" t="s">
        <v>33</v>
      </c>
      <c r="AA86" s="109" t="s">
        <v>34</v>
      </c>
      <c r="AB86" s="109" t="s">
        <v>35</v>
      </c>
      <c r="AC86" s="109" t="s">
        <v>36</v>
      </c>
      <c r="AD86" s="109" t="s">
        <v>37</v>
      </c>
      <c r="AE86" s="109" t="s">
        <v>38</v>
      </c>
      <c r="AF86" s="109" t="s">
        <v>39</v>
      </c>
      <c r="AG86" s="147" t="s">
        <v>40</v>
      </c>
      <c r="AH86" s="109" t="s">
        <v>41</v>
      </c>
      <c r="AI86" s="109" t="s">
        <v>33</v>
      </c>
      <c r="AJ86" s="109" t="s">
        <v>34</v>
      </c>
      <c r="AK86" s="108" t="s">
        <v>42</v>
      </c>
      <c r="AL86" s="159" t="s">
        <v>43</v>
      </c>
      <c r="AM86" s="160" t="s">
        <v>44</v>
      </c>
      <c r="AN86" s="161" t="s">
        <v>133</v>
      </c>
      <c r="AO86" s="109" t="s">
        <v>46</v>
      </c>
      <c r="AP86" s="164" t="s">
        <v>47</v>
      </c>
      <c r="AQ86" s="165" t="s">
        <v>10</v>
      </c>
      <c r="AR86" s="109" t="s">
        <v>11</v>
      </c>
      <c r="AS86" s="108" t="s">
        <v>23</v>
      </c>
      <c r="AT86" s="109" t="s">
        <v>48</v>
      </c>
      <c r="AU86" s="164" t="s">
        <v>49</v>
      </c>
      <c r="AV86" s="166" t="s">
        <v>50</v>
      </c>
      <c r="AW86" s="108" t="s">
        <v>51</v>
      </c>
      <c r="AX86" s="72" t="s">
        <v>52</v>
      </c>
      <c r="AY86" s="164" t="s">
        <v>53</v>
      </c>
      <c r="AZ86" s="167" t="s">
        <v>54</v>
      </c>
      <c r="BA86" s="109" t="s">
        <v>55</v>
      </c>
      <c r="BB86" s="167" t="s">
        <v>56</v>
      </c>
      <c r="BC86" s="109" t="s">
        <v>57</v>
      </c>
      <c r="BD86" s="167" t="s">
        <v>58</v>
      </c>
      <c r="BE86" s="109" t="s">
        <v>59</v>
      </c>
      <c r="BF86" s="164" t="s">
        <v>60</v>
      </c>
      <c r="BG86" s="109" t="s">
        <v>61</v>
      </c>
      <c r="BH86" s="72" t="s">
        <v>62</v>
      </c>
      <c r="BI86" s="72" t="s">
        <v>63</v>
      </c>
      <c r="BJ86" s="72" t="s">
        <v>64</v>
      </c>
      <c r="BK86" s="165" t="s">
        <v>65</v>
      </c>
      <c r="BL86" s="72" t="s">
        <v>66</v>
      </c>
      <c r="BM86" s="109" t="s">
        <v>67</v>
      </c>
      <c r="BN86" s="109" t="s">
        <v>68</v>
      </c>
      <c r="BO86" s="72" t="s">
        <v>69</v>
      </c>
      <c r="BP86" s="109" t="s">
        <v>70</v>
      </c>
      <c r="BQ86" s="72" t="s">
        <v>71</v>
      </c>
      <c r="BR86" s="72" t="s">
        <v>72</v>
      </c>
      <c r="BS86" s="108" t="s">
        <v>73</v>
      </c>
      <c r="BT86" s="108" t="s">
        <v>74</v>
      </c>
      <c r="BU86" s="165" t="s">
        <v>75</v>
      </c>
      <c r="BV86" s="165" t="s">
        <v>76</v>
      </c>
      <c r="BW86" s="165" t="s">
        <v>77</v>
      </c>
      <c r="BX86" s="165"/>
    </row>
    <row r="87" s="103" customFormat="1" ht="31" customHeight="1" spans="1:80">
      <c r="A87" s="47">
        <v>1</v>
      </c>
      <c r="B87" s="47" t="s">
        <v>1345</v>
      </c>
      <c r="C87" s="47" t="s">
        <v>1346</v>
      </c>
      <c r="D87" s="111" t="s">
        <v>102</v>
      </c>
      <c r="E87" s="47" t="s">
        <v>81</v>
      </c>
      <c r="F87" s="47" t="s">
        <v>144</v>
      </c>
      <c r="G87" s="47" t="s">
        <v>2233</v>
      </c>
      <c r="H87" s="123">
        <v>45708</v>
      </c>
      <c r="I87" s="47">
        <v>13886861476</v>
      </c>
      <c r="J87" s="270" t="s">
        <v>2234</v>
      </c>
      <c r="K87" s="47" t="s">
        <v>1350</v>
      </c>
      <c r="L87" s="37" t="s">
        <v>1351</v>
      </c>
      <c r="M87" s="47" t="s">
        <v>149</v>
      </c>
      <c r="N87" s="37" t="s">
        <v>1351</v>
      </c>
      <c r="O87" s="32" t="str">
        <f t="shared" ref="O87:O94" si="23">TEXT(MID(J87,7,8),"0-00-00")</f>
        <v>2001-09-03</v>
      </c>
      <c r="P87" s="34">
        <f ca="1" t="shared" ref="P87:P94" si="24">YEAR(TODAY())-MID(J87,7,4)</f>
        <v>25</v>
      </c>
      <c r="Q87" s="47">
        <f ca="1" t="shared" ref="Q87:Q94" si="25">IF(H87="","",DATEDIF(H87,TODAY(),"Y"))</f>
        <v>1</v>
      </c>
      <c r="R87" s="47" t="s">
        <v>88</v>
      </c>
      <c r="S87" s="47" t="s">
        <v>89</v>
      </c>
      <c r="T87" s="47" t="s">
        <v>1286</v>
      </c>
      <c r="U87" s="47" t="s">
        <v>91</v>
      </c>
      <c r="V87" s="47" t="s">
        <v>92</v>
      </c>
      <c r="W87" s="47"/>
      <c r="X87" s="47"/>
      <c r="Y87" s="149" t="s">
        <v>1352</v>
      </c>
      <c r="Z87" s="47">
        <v>2024</v>
      </c>
      <c r="AA87" s="47">
        <v>2024</v>
      </c>
      <c r="AB87" s="47" t="s">
        <v>399</v>
      </c>
      <c r="AC87" s="47"/>
      <c r="AD87" s="47"/>
      <c r="AE87" s="47"/>
      <c r="AF87" s="47" t="s">
        <v>406</v>
      </c>
      <c r="AG87" s="47" t="s">
        <v>1353</v>
      </c>
      <c r="AH87" s="47" t="s">
        <v>1354</v>
      </c>
      <c r="AI87" s="47">
        <v>2020.09</v>
      </c>
      <c r="AJ87" s="47">
        <v>2024.06</v>
      </c>
      <c r="AK87" s="47"/>
      <c r="AL87" s="47" t="s">
        <v>1355</v>
      </c>
      <c r="AM87" s="47"/>
      <c r="AN87" s="47" t="s">
        <v>194</v>
      </c>
      <c r="AO87" s="37" t="s">
        <v>1351</v>
      </c>
      <c r="AP87" s="47" t="s">
        <v>100</v>
      </c>
      <c r="AQ87" s="47" t="s">
        <v>1356</v>
      </c>
      <c r="AR87" s="47" t="s">
        <v>102</v>
      </c>
      <c r="AS87" s="47">
        <v>51</v>
      </c>
      <c r="AT87" s="47"/>
      <c r="AU87" s="47" t="s">
        <v>1356</v>
      </c>
      <c r="AV87" s="47" t="s">
        <v>100</v>
      </c>
      <c r="AW87" s="47">
        <v>15826759959</v>
      </c>
      <c r="AX87" s="37" t="s">
        <v>271</v>
      </c>
      <c r="AY87" s="47">
        <v>1</v>
      </c>
      <c r="AZ87" s="123">
        <v>45708</v>
      </c>
      <c r="BA87" s="123">
        <v>46072</v>
      </c>
      <c r="BB87" s="47" t="s">
        <v>106</v>
      </c>
      <c r="BC87" s="47"/>
      <c r="BD87" s="47"/>
      <c r="BE87" s="123">
        <v>46049</v>
      </c>
      <c r="BF87" s="37" t="s">
        <v>2235</v>
      </c>
      <c r="BG87" s="47"/>
      <c r="BH87" s="37" t="s">
        <v>1357</v>
      </c>
      <c r="BI87" s="47"/>
      <c r="BJ87" s="47"/>
      <c r="BK87" s="47"/>
      <c r="BL87" s="269" t="s">
        <v>1358</v>
      </c>
      <c r="BM87" s="47" t="s">
        <v>109</v>
      </c>
      <c r="BN87" s="37" t="s">
        <v>110</v>
      </c>
      <c r="BO87" s="47">
        <v>2025.5</v>
      </c>
      <c r="BP87" s="47"/>
      <c r="BQ87" s="47"/>
      <c r="BR87" s="47">
        <v>2024.5</v>
      </c>
      <c r="BS87" s="47" t="s">
        <v>111</v>
      </c>
      <c r="BT87" s="47">
        <v>531</v>
      </c>
      <c r="BU87" s="63" t="s">
        <v>275</v>
      </c>
      <c r="BV87" s="47"/>
      <c r="BW87" s="47"/>
      <c r="BX87" s="123">
        <v>45797</v>
      </c>
      <c r="BY87" s="197">
        <v>2001</v>
      </c>
      <c r="BZ87" s="47">
        <v>9</v>
      </c>
      <c r="CA87" s="47">
        <v>3</v>
      </c>
      <c r="CB87" s="105"/>
    </row>
    <row r="88" s="103" customFormat="1" ht="31" customHeight="1" spans="1:79">
      <c r="A88" s="47">
        <v>13</v>
      </c>
      <c r="B88" s="47" t="s">
        <v>290</v>
      </c>
      <c r="C88" s="111" t="s">
        <v>291</v>
      </c>
      <c r="D88" s="111" t="str">
        <f t="shared" ref="D88:D94" si="26">IF(MOD(MID(J88,17,1),2)=1,"男","女")</f>
        <v>女</v>
      </c>
      <c r="E88" s="47" t="s">
        <v>278</v>
      </c>
      <c r="F88" s="47" t="s">
        <v>144</v>
      </c>
      <c r="G88" s="196" t="s">
        <v>284</v>
      </c>
      <c r="H88" s="18">
        <v>43922</v>
      </c>
      <c r="I88" s="111">
        <v>13797928108</v>
      </c>
      <c r="J88" s="27" t="s">
        <v>292</v>
      </c>
      <c r="K88" s="28" t="s">
        <v>293</v>
      </c>
      <c r="L88" s="28" t="s">
        <v>294</v>
      </c>
      <c r="M88" s="47" t="s">
        <v>282</v>
      </c>
      <c r="N88" s="28" t="s">
        <v>295</v>
      </c>
      <c r="O88" s="32" t="str">
        <f t="shared" si="23"/>
        <v>1967-03-08</v>
      </c>
      <c r="P88" s="34">
        <f ca="1" t="shared" si="24"/>
        <v>59</v>
      </c>
      <c r="Q88" s="47">
        <f ca="1" t="shared" si="25"/>
        <v>6</v>
      </c>
      <c r="R88" s="28" t="s">
        <v>88</v>
      </c>
      <c r="S88" s="47" t="s">
        <v>245</v>
      </c>
      <c r="T88" s="28" t="s">
        <v>90</v>
      </c>
      <c r="U88" s="47" t="s">
        <v>91</v>
      </c>
      <c r="V88" s="47" t="s">
        <v>92</v>
      </c>
      <c r="W88" s="47"/>
      <c r="X88" s="47"/>
      <c r="Y88" s="47" t="s">
        <v>296</v>
      </c>
      <c r="Z88" s="47">
        <v>1986.1</v>
      </c>
      <c r="AA88" s="47">
        <v>2020.3</v>
      </c>
      <c r="AB88" s="47" t="s">
        <v>284</v>
      </c>
      <c r="AC88" s="47"/>
      <c r="AD88" s="47"/>
      <c r="AE88" s="47">
        <v>13593783456</v>
      </c>
      <c r="AF88" s="157" t="s">
        <v>154</v>
      </c>
      <c r="AG88" s="37" t="s">
        <v>297</v>
      </c>
      <c r="AH88" s="157" t="s">
        <v>298</v>
      </c>
      <c r="AI88" s="47">
        <v>1987.7</v>
      </c>
      <c r="AJ88" s="47">
        <v>1990.7</v>
      </c>
      <c r="AK88" s="47" t="s">
        <v>285</v>
      </c>
      <c r="AL88" s="47" t="s">
        <v>286</v>
      </c>
      <c r="AM88" s="47"/>
      <c r="AN88" s="111" t="s">
        <v>99</v>
      </c>
      <c r="AO88" s="28" t="s">
        <v>295</v>
      </c>
      <c r="AP88" s="37" t="s">
        <v>176</v>
      </c>
      <c r="AQ88" s="47" t="s">
        <v>299</v>
      </c>
      <c r="AR88" s="47" t="s">
        <v>102</v>
      </c>
      <c r="AS88" s="47">
        <v>56</v>
      </c>
      <c r="AT88" s="47" t="s">
        <v>178</v>
      </c>
      <c r="AU88" s="47" t="s">
        <v>299</v>
      </c>
      <c r="AV88" s="47" t="s">
        <v>104</v>
      </c>
      <c r="AW88" s="28">
        <v>13593783456</v>
      </c>
      <c r="AX88" s="37" t="s">
        <v>2236</v>
      </c>
      <c r="AY88" s="47">
        <v>6</v>
      </c>
      <c r="AZ88" s="50">
        <v>44013</v>
      </c>
      <c r="BA88" s="123">
        <v>46203</v>
      </c>
      <c r="BB88" s="47" t="s">
        <v>106</v>
      </c>
      <c r="BC88" s="47"/>
      <c r="BD88" s="47"/>
      <c r="BE88" s="123">
        <v>46059</v>
      </c>
      <c r="BF88" s="37" t="s">
        <v>2237</v>
      </c>
      <c r="BG88" s="47"/>
      <c r="BH88" s="37" t="s">
        <v>301</v>
      </c>
      <c r="BI88" s="37"/>
      <c r="BJ88" s="37"/>
      <c r="BK88" s="47"/>
      <c r="BL88" s="268" t="s">
        <v>302</v>
      </c>
      <c r="BM88" s="47"/>
      <c r="BN88" s="47"/>
      <c r="BO88" s="47"/>
      <c r="BP88" s="58"/>
      <c r="BQ88" s="37"/>
      <c r="BR88" s="47"/>
      <c r="BS88" s="47" t="s">
        <v>111</v>
      </c>
      <c r="BT88" s="47"/>
      <c r="BU88" s="206" t="s">
        <v>164</v>
      </c>
      <c r="BV88" s="47"/>
      <c r="BW88" s="47"/>
      <c r="BX88" s="200">
        <v>44013</v>
      </c>
      <c r="BY88" s="197">
        <v>1967</v>
      </c>
      <c r="BZ88" s="47">
        <v>3</v>
      </c>
      <c r="CA88" s="47">
        <v>8</v>
      </c>
    </row>
    <row r="89" s="104" customFormat="1" ht="31" customHeight="1" spans="1:80">
      <c r="A89" s="47">
        <v>80</v>
      </c>
      <c r="B89" s="47" t="s">
        <v>263</v>
      </c>
      <c r="C89" s="47" t="s">
        <v>1422</v>
      </c>
      <c r="D89" s="111" t="str">
        <f t="shared" si="26"/>
        <v>女</v>
      </c>
      <c r="E89" s="47" t="s">
        <v>81</v>
      </c>
      <c r="F89" s="47" t="s">
        <v>144</v>
      </c>
      <c r="G89" s="47" t="s">
        <v>2238</v>
      </c>
      <c r="H89" s="123">
        <v>45734</v>
      </c>
      <c r="I89" s="47">
        <v>13677231138</v>
      </c>
      <c r="J89" s="270" t="s">
        <v>1423</v>
      </c>
      <c r="K89" s="47" t="s">
        <v>116</v>
      </c>
      <c r="L89" s="37" t="s">
        <v>1424</v>
      </c>
      <c r="M89" s="47" t="s">
        <v>149</v>
      </c>
      <c r="N89" s="37" t="s">
        <v>1424</v>
      </c>
      <c r="O89" s="32" t="str">
        <f t="shared" si="23"/>
        <v>1989-03-26</v>
      </c>
      <c r="P89" s="34">
        <f ca="1" t="shared" si="24"/>
        <v>37</v>
      </c>
      <c r="Q89" s="47">
        <f ca="1" t="shared" si="25"/>
        <v>1</v>
      </c>
      <c r="R89" s="47" t="s">
        <v>88</v>
      </c>
      <c r="S89" s="47" t="s">
        <v>89</v>
      </c>
      <c r="T89" s="47" t="s">
        <v>90</v>
      </c>
      <c r="U89" s="47" t="s">
        <v>91</v>
      </c>
      <c r="V89" s="47" t="s">
        <v>92</v>
      </c>
      <c r="W89" s="165"/>
      <c r="X89" s="165"/>
      <c r="Y89" s="149" t="s">
        <v>1425</v>
      </c>
      <c r="Z89" s="165"/>
      <c r="AA89" s="165"/>
      <c r="AB89" s="165"/>
      <c r="AC89" s="165"/>
      <c r="AD89" s="165"/>
      <c r="AE89" s="165"/>
      <c r="AF89" s="165" t="s">
        <v>96</v>
      </c>
      <c r="AG89" s="165"/>
      <c r="AH89" s="165"/>
      <c r="AI89" s="165"/>
      <c r="AJ89" s="165"/>
      <c r="AL89" s="165"/>
      <c r="AM89" s="165"/>
      <c r="AN89" s="47" t="s">
        <v>99</v>
      </c>
      <c r="AO89" s="37" t="s">
        <v>1424</v>
      </c>
      <c r="AP89" s="47" t="s">
        <v>1426</v>
      </c>
      <c r="AQ89" s="47" t="s">
        <v>176</v>
      </c>
      <c r="AR89" s="47" t="s">
        <v>102</v>
      </c>
      <c r="AS89" s="47"/>
      <c r="AT89" s="47" t="s">
        <v>1427</v>
      </c>
      <c r="AU89" s="47" t="s">
        <v>1426</v>
      </c>
      <c r="AV89" s="47" t="s">
        <v>176</v>
      </c>
      <c r="AW89" s="47">
        <v>17707242516</v>
      </c>
      <c r="AX89" s="37" t="s">
        <v>1428</v>
      </c>
      <c r="AY89" s="47">
        <v>1</v>
      </c>
      <c r="AZ89" s="123">
        <v>45734</v>
      </c>
      <c r="BA89" s="123">
        <v>46098</v>
      </c>
      <c r="BB89" s="47" t="s">
        <v>106</v>
      </c>
      <c r="BC89" s="165"/>
      <c r="BD89" s="165"/>
      <c r="BE89" s="180">
        <v>46081</v>
      </c>
      <c r="BF89" s="165" t="s">
        <v>1307</v>
      </c>
      <c r="BG89" s="165"/>
      <c r="BH89" s="47" t="s">
        <v>1429</v>
      </c>
      <c r="BI89" s="165"/>
      <c r="BJ89" s="165"/>
      <c r="BK89" s="165"/>
      <c r="BL89" s="269" t="s">
        <v>1430</v>
      </c>
      <c r="BM89" s="47" t="s">
        <v>109</v>
      </c>
      <c r="BN89" s="37" t="s">
        <v>110</v>
      </c>
      <c r="BO89" s="47">
        <v>2025.04</v>
      </c>
      <c r="BP89" s="165"/>
      <c r="BQ89" s="165"/>
      <c r="BR89" s="47">
        <v>2025.04</v>
      </c>
      <c r="BS89" s="47" t="s">
        <v>111</v>
      </c>
      <c r="BT89" s="47"/>
      <c r="BU89" s="63" t="s">
        <v>1431</v>
      </c>
      <c r="BV89" s="165"/>
      <c r="BW89" s="165"/>
      <c r="BX89" s="123">
        <v>45826</v>
      </c>
      <c r="BY89" s="224">
        <v>1989</v>
      </c>
      <c r="BZ89" s="165">
        <v>3</v>
      </c>
      <c r="CA89" s="165">
        <v>26</v>
      </c>
      <c r="CB89" s="105"/>
    </row>
    <row r="90" s="103" customFormat="1" ht="31" customHeight="1" spans="1:79">
      <c r="A90" s="47">
        <v>87</v>
      </c>
      <c r="B90" s="47" t="s">
        <v>396</v>
      </c>
      <c r="C90" s="47" t="s">
        <v>397</v>
      </c>
      <c r="D90" s="111" t="str">
        <f t="shared" si="26"/>
        <v>男</v>
      </c>
      <c r="E90" s="47" t="s">
        <v>398</v>
      </c>
      <c r="F90" s="47" t="s">
        <v>144</v>
      </c>
      <c r="G90" s="37" t="s">
        <v>2239</v>
      </c>
      <c r="H90" s="123">
        <v>45572</v>
      </c>
      <c r="I90" s="47">
        <v>13972869793</v>
      </c>
      <c r="J90" s="270" t="s">
        <v>400</v>
      </c>
      <c r="K90" s="28" t="s">
        <v>116</v>
      </c>
      <c r="L90" s="37" t="s">
        <v>401</v>
      </c>
      <c r="M90" s="47" t="s">
        <v>149</v>
      </c>
      <c r="N90" s="37" t="s">
        <v>402</v>
      </c>
      <c r="O90" s="32" t="str">
        <f t="shared" si="23"/>
        <v>2001-07-03</v>
      </c>
      <c r="P90" s="34">
        <f ca="1" t="shared" si="24"/>
        <v>25</v>
      </c>
      <c r="Q90" s="47">
        <f ca="1" t="shared" si="25"/>
        <v>1</v>
      </c>
      <c r="R90" s="28" t="s">
        <v>88</v>
      </c>
      <c r="S90" s="47" t="s">
        <v>89</v>
      </c>
      <c r="T90" s="111" t="s">
        <v>90</v>
      </c>
      <c r="U90" s="47" t="s">
        <v>91</v>
      </c>
      <c r="V90" s="47" t="s">
        <v>92</v>
      </c>
      <c r="W90" s="47"/>
      <c r="X90" s="47"/>
      <c r="Y90" s="37" t="s">
        <v>404</v>
      </c>
      <c r="Z90" s="47">
        <v>2024.3</v>
      </c>
      <c r="AA90" s="47">
        <v>2024.7</v>
      </c>
      <c r="AB90" s="47" t="s">
        <v>405</v>
      </c>
      <c r="AC90" s="47"/>
      <c r="AD90" s="47"/>
      <c r="AE90" s="47"/>
      <c r="AF90" s="47" t="s">
        <v>406</v>
      </c>
      <c r="AG90" s="37" t="s">
        <v>407</v>
      </c>
      <c r="AH90" s="37" t="s">
        <v>408</v>
      </c>
      <c r="AI90" s="47">
        <v>2019.9</v>
      </c>
      <c r="AJ90" s="47">
        <v>2023.6</v>
      </c>
      <c r="AK90" s="47"/>
      <c r="AL90" s="47"/>
      <c r="AM90" s="47"/>
      <c r="AN90" s="111" t="s">
        <v>194</v>
      </c>
      <c r="AO90" s="37" t="s">
        <v>402</v>
      </c>
      <c r="AP90" s="37" t="s">
        <v>409</v>
      </c>
      <c r="AQ90" s="47" t="s">
        <v>410</v>
      </c>
      <c r="AR90" s="47" t="s">
        <v>102</v>
      </c>
      <c r="AS90" s="47">
        <v>71</v>
      </c>
      <c r="AT90" s="47" t="s">
        <v>178</v>
      </c>
      <c r="AU90" s="47" t="s">
        <v>410</v>
      </c>
      <c r="AV90" s="47" t="s">
        <v>411</v>
      </c>
      <c r="AW90" s="47">
        <v>15972619098</v>
      </c>
      <c r="AX90" s="175" t="s">
        <v>2240</v>
      </c>
      <c r="AY90" s="47">
        <v>2</v>
      </c>
      <c r="AZ90" s="123">
        <v>45572</v>
      </c>
      <c r="BA90" s="123">
        <v>46387</v>
      </c>
      <c r="BB90" s="47" t="s">
        <v>412</v>
      </c>
      <c r="BC90" s="47" t="s">
        <v>410</v>
      </c>
      <c r="BD90" s="47"/>
      <c r="BE90" s="123">
        <v>46081</v>
      </c>
      <c r="BF90" s="37" t="s">
        <v>2235</v>
      </c>
      <c r="BG90" s="47"/>
      <c r="BH90" s="37"/>
      <c r="BI90" s="37"/>
      <c r="BJ90" s="37"/>
      <c r="BK90" s="47"/>
      <c r="BL90" s="273" t="s">
        <v>413</v>
      </c>
      <c r="BM90" s="47"/>
      <c r="BN90" s="37"/>
      <c r="BO90" s="47">
        <v>2025.1</v>
      </c>
      <c r="BP90" s="58"/>
      <c r="BQ90" s="37"/>
      <c r="BR90" s="47">
        <v>2025.1</v>
      </c>
      <c r="BS90" s="47" t="s">
        <v>111</v>
      </c>
      <c r="BT90" s="47"/>
      <c r="BU90" s="206" t="s">
        <v>414</v>
      </c>
      <c r="BV90" s="47"/>
      <c r="BW90" s="47"/>
      <c r="BX90" s="180">
        <v>45748</v>
      </c>
      <c r="BY90" s="197">
        <v>2001</v>
      </c>
      <c r="BZ90" s="47">
        <v>7</v>
      </c>
      <c r="CA90" s="47">
        <v>3</v>
      </c>
    </row>
    <row r="91" s="103" customFormat="1" ht="31" customHeight="1" spans="1:79">
      <c r="A91" s="47">
        <v>87</v>
      </c>
      <c r="B91" s="47" t="s">
        <v>238</v>
      </c>
      <c r="C91" s="47" t="s">
        <v>1325</v>
      </c>
      <c r="D91" s="111" t="str">
        <f t="shared" si="26"/>
        <v>女</v>
      </c>
      <c r="E91" s="47" t="s">
        <v>2241</v>
      </c>
      <c r="F91" s="47" t="s">
        <v>144</v>
      </c>
      <c r="G91" s="47" t="s">
        <v>1314</v>
      </c>
      <c r="H91" s="123">
        <v>45537</v>
      </c>
      <c r="I91" s="47">
        <v>13006017041</v>
      </c>
      <c r="J91" s="270" t="s">
        <v>1326</v>
      </c>
      <c r="K91" s="47" t="s">
        <v>116</v>
      </c>
      <c r="L91" s="37" t="s">
        <v>1327</v>
      </c>
      <c r="M91" s="37" t="s">
        <v>87</v>
      </c>
      <c r="N91" s="37" t="s">
        <v>1328</v>
      </c>
      <c r="O91" s="32" t="str">
        <f t="shared" si="23"/>
        <v>2002-06-30</v>
      </c>
      <c r="P91" s="34">
        <f ca="1" t="shared" si="24"/>
        <v>24</v>
      </c>
      <c r="Q91" s="47">
        <f ca="1" t="shared" si="25"/>
        <v>1</v>
      </c>
      <c r="R91" s="47" t="s">
        <v>88</v>
      </c>
      <c r="S91" s="47" t="s">
        <v>89</v>
      </c>
      <c r="T91" s="47" t="s">
        <v>1286</v>
      </c>
      <c r="U91" s="47" t="s">
        <v>91</v>
      </c>
      <c r="V91" s="47" t="s">
        <v>92</v>
      </c>
      <c r="W91" s="47"/>
      <c r="X91" s="47"/>
      <c r="Y91" s="47"/>
      <c r="Z91" s="47"/>
      <c r="AA91" s="47"/>
      <c r="AB91" s="47"/>
      <c r="AC91" s="47"/>
      <c r="AD91" s="47"/>
      <c r="AE91" s="47"/>
      <c r="AF91" s="47" t="s">
        <v>406</v>
      </c>
      <c r="AG91" s="47" t="s">
        <v>1329</v>
      </c>
      <c r="AH91" s="47" t="s">
        <v>1330</v>
      </c>
      <c r="AI91" s="47">
        <v>2020.9</v>
      </c>
      <c r="AJ91" s="47">
        <v>2024.6</v>
      </c>
      <c r="AK91" s="47"/>
      <c r="AL91" s="47"/>
      <c r="AM91" s="47"/>
      <c r="AN91" s="47" t="s">
        <v>194</v>
      </c>
      <c r="AO91" s="37" t="s">
        <v>1328</v>
      </c>
      <c r="AP91" s="47" t="s">
        <v>815</v>
      </c>
      <c r="AQ91" s="47" t="s">
        <v>1331</v>
      </c>
      <c r="AR91" s="47" t="s">
        <v>214</v>
      </c>
      <c r="AS91" s="47">
        <v>50</v>
      </c>
      <c r="AT91" s="47" t="s">
        <v>270</v>
      </c>
      <c r="AU91" s="47" t="s">
        <v>1332</v>
      </c>
      <c r="AV91" s="47" t="s">
        <v>347</v>
      </c>
      <c r="AW91" s="47">
        <v>13908698125</v>
      </c>
      <c r="AX91" s="37" t="s">
        <v>2242</v>
      </c>
      <c r="AY91" s="47">
        <v>2</v>
      </c>
      <c r="AZ91" s="123">
        <v>45992</v>
      </c>
      <c r="BA91" s="123">
        <v>46356</v>
      </c>
      <c r="BB91" s="47" t="s">
        <v>106</v>
      </c>
      <c r="BC91" s="47"/>
      <c r="BD91" s="47"/>
      <c r="BE91" s="123">
        <v>46119</v>
      </c>
      <c r="BF91" s="37" t="s">
        <v>2235</v>
      </c>
      <c r="BG91" s="47"/>
      <c r="BH91" s="37" t="s">
        <v>1333</v>
      </c>
      <c r="BI91" s="47"/>
      <c r="BJ91" s="47"/>
      <c r="BK91" s="47"/>
      <c r="BL91" s="269" t="s">
        <v>1334</v>
      </c>
      <c r="BM91" s="47" t="s">
        <v>109</v>
      </c>
      <c r="BN91" s="37" t="s">
        <v>110</v>
      </c>
      <c r="BO91" s="47">
        <v>2025.12</v>
      </c>
      <c r="BP91" s="47"/>
      <c r="BQ91" s="47"/>
      <c r="BR91" s="47">
        <v>2025.12</v>
      </c>
      <c r="BS91" s="47" t="s">
        <v>111</v>
      </c>
      <c r="BT91" s="47">
        <v>529</v>
      </c>
      <c r="BU91" s="63" t="s">
        <v>164</v>
      </c>
      <c r="BV91" s="47"/>
      <c r="BW91" s="47"/>
      <c r="BX91" s="123">
        <v>45627</v>
      </c>
      <c r="BY91" s="197">
        <v>2002</v>
      </c>
      <c r="BZ91" s="47">
        <v>6</v>
      </c>
      <c r="CA91" s="47">
        <v>30</v>
      </c>
    </row>
    <row r="92" s="103" customFormat="1" ht="31" customHeight="1" spans="1:79">
      <c r="A92" s="47">
        <v>5</v>
      </c>
      <c r="B92" s="47" t="s">
        <v>202</v>
      </c>
      <c r="C92" s="47" t="s">
        <v>203</v>
      </c>
      <c r="D92" s="111" t="str">
        <f t="shared" si="26"/>
        <v>男</v>
      </c>
      <c r="E92" s="47" t="s">
        <v>139</v>
      </c>
      <c r="F92" s="47" t="s">
        <v>144</v>
      </c>
      <c r="G92" s="37" t="s">
        <v>153</v>
      </c>
      <c r="H92" s="123">
        <v>44706</v>
      </c>
      <c r="I92" s="111">
        <v>13257231992</v>
      </c>
      <c r="J92" s="270" t="s">
        <v>204</v>
      </c>
      <c r="K92" s="138" t="s">
        <v>205</v>
      </c>
      <c r="L92" s="37" t="s">
        <v>206</v>
      </c>
      <c r="M92" s="47" t="s">
        <v>149</v>
      </c>
      <c r="N92" s="37" t="s">
        <v>206</v>
      </c>
      <c r="O92" s="32" t="str">
        <f t="shared" si="23"/>
        <v>1992-11-06</v>
      </c>
      <c r="P92" s="34">
        <f ca="1" t="shared" si="24"/>
        <v>34</v>
      </c>
      <c r="Q92" s="47">
        <f ca="1" t="shared" si="25"/>
        <v>4</v>
      </c>
      <c r="R92" s="28" t="s">
        <v>88</v>
      </c>
      <c r="S92" s="47" t="s">
        <v>89</v>
      </c>
      <c r="T92" s="111" t="s">
        <v>90</v>
      </c>
      <c r="U92" s="47" t="s">
        <v>91</v>
      </c>
      <c r="V92" s="47" t="s">
        <v>92</v>
      </c>
      <c r="W92" s="47"/>
      <c r="X92" s="47"/>
      <c r="Y92" s="37" t="s">
        <v>207</v>
      </c>
      <c r="Z92" s="47">
        <v>2021.5</v>
      </c>
      <c r="AA92" s="47">
        <v>2022.5</v>
      </c>
      <c r="AB92" s="47" t="s">
        <v>153</v>
      </c>
      <c r="AC92" s="47"/>
      <c r="AD92" s="47"/>
      <c r="AE92" s="47"/>
      <c r="AF92" s="47" t="s">
        <v>208</v>
      </c>
      <c r="AG92" s="37" t="s">
        <v>209</v>
      </c>
      <c r="AH92" s="47" t="s">
        <v>210</v>
      </c>
      <c r="AI92" s="47">
        <v>2008.9</v>
      </c>
      <c r="AJ92" s="47">
        <v>2011.6</v>
      </c>
      <c r="AK92" s="47"/>
      <c r="AL92" s="37" t="s">
        <v>211</v>
      </c>
      <c r="AM92" s="47"/>
      <c r="AN92" s="111" t="s">
        <v>99</v>
      </c>
      <c r="AO92" s="37" t="s">
        <v>206</v>
      </c>
      <c r="AP92" s="37" t="s">
        <v>212</v>
      </c>
      <c r="AQ92" s="47" t="s">
        <v>213</v>
      </c>
      <c r="AR92" s="47" t="s">
        <v>214</v>
      </c>
      <c r="AS92" s="47">
        <v>28</v>
      </c>
      <c r="AT92" s="47" t="s">
        <v>215</v>
      </c>
      <c r="AU92" s="47" t="s">
        <v>213</v>
      </c>
      <c r="AV92" s="47" t="s">
        <v>104</v>
      </c>
      <c r="AW92" s="111">
        <v>13257231992</v>
      </c>
      <c r="AX92" s="37" t="s">
        <v>2243</v>
      </c>
      <c r="AY92" s="47">
        <v>4</v>
      </c>
      <c r="AZ92" s="123">
        <v>44774</v>
      </c>
      <c r="BA92" s="123">
        <v>46234</v>
      </c>
      <c r="BB92" s="47" t="s">
        <v>106</v>
      </c>
      <c r="BC92" s="47"/>
      <c r="BD92" s="47"/>
      <c r="BE92" s="123">
        <v>46160</v>
      </c>
      <c r="BF92" s="37" t="s">
        <v>2235</v>
      </c>
      <c r="BG92" s="47"/>
      <c r="BH92" s="37" t="s">
        <v>217</v>
      </c>
      <c r="BI92" s="37"/>
      <c r="BJ92" s="37"/>
      <c r="BK92" s="47"/>
      <c r="BL92" s="268" t="s">
        <v>218</v>
      </c>
      <c r="BM92" s="47" t="s">
        <v>109</v>
      </c>
      <c r="BN92" s="37" t="s">
        <v>110</v>
      </c>
      <c r="BO92" s="47">
        <v>2022.8</v>
      </c>
      <c r="BP92" s="58"/>
      <c r="BQ92" s="37"/>
      <c r="BR92" s="47">
        <v>2022.8</v>
      </c>
      <c r="BS92" s="47" t="s">
        <v>111</v>
      </c>
      <c r="BT92" s="47"/>
      <c r="BU92" s="206" t="s">
        <v>219</v>
      </c>
      <c r="BV92" s="47"/>
      <c r="BW92" s="47"/>
      <c r="BX92" s="180">
        <v>44774</v>
      </c>
      <c r="BY92" s="197">
        <v>1992</v>
      </c>
      <c r="BZ92" s="47">
        <v>11</v>
      </c>
      <c r="CA92" s="47">
        <v>6</v>
      </c>
    </row>
    <row r="93" s="1" customFormat="1" ht="31" customHeight="1" spans="1:80">
      <c r="A93" s="47">
        <v>94</v>
      </c>
      <c r="B93" s="47" t="s">
        <v>2244</v>
      </c>
      <c r="C93" s="47" t="s">
        <v>2245</v>
      </c>
      <c r="D93" s="111" t="str">
        <f t="shared" si="26"/>
        <v>男</v>
      </c>
      <c r="E93" s="47" t="s">
        <v>81</v>
      </c>
      <c r="F93" s="47" t="s">
        <v>144</v>
      </c>
      <c r="G93" s="47" t="s">
        <v>2246</v>
      </c>
      <c r="H93" s="123">
        <v>45994</v>
      </c>
      <c r="I93" s="47">
        <v>18670334666</v>
      </c>
      <c r="J93" s="270" t="s">
        <v>2247</v>
      </c>
      <c r="K93" s="47" t="s">
        <v>2248</v>
      </c>
      <c r="L93" s="37" t="s">
        <v>2249</v>
      </c>
      <c r="M93" s="47" t="s">
        <v>87</v>
      </c>
      <c r="N93" s="37" t="s">
        <v>2250</v>
      </c>
      <c r="O93" s="32" t="str">
        <f t="shared" si="23"/>
        <v>1997-01-30</v>
      </c>
      <c r="P93" s="34">
        <f ca="1" t="shared" si="24"/>
        <v>29</v>
      </c>
      <c r="Q93" s="47">
        <f ca="1" t="shared" si="25"/>
        <v>0</v>
      </c>
      <c r="R93" s="47" t="s">
        <v>88</v>
      </c>
      <c r="S93" s="47" t="s">
        <v>245</v>
      </c>
      <c r="T93" s="47" t="s">
        <v>90</v>
      </c>
      <c r="U93" s="47" t="s">
        <v>91</v>
      </c>
      <c r="V93" s="47" t="s">
        <v>92</v>
      </c>
      <c r="W93" s="47"/>
      <c r="X93" s="47"/>
      <c r="Y93" s="37" t="s">
        <v>2251</v>
      </c>
      <c r="Z93" s="47">
        <v>2022.7</v>
      </c>
      <c r="AA93" s="47">
        <v>2025.12</v>
      </c>
      <c r="AB93" s="47"/>
      <c r="AC93" s="47"/>
      <c r="AD93" s="47"/>
      <c r="AE93" s="47"/>
      <c r="AF93" s="37" t="s">
        <v>2252</v>
      </c>
      <c r="AG93" s="47" t="s">
        <v>2253</v>
      </c>
      <c r="AH93" s="37" t="s">
        <v>2254</v>
      </c>
      <c r="AI93" s="47">
        <v>2019.9</v>
      </c>
      <c r="AJ93" s="47">
        <v>2022.6</v>
      </c>
      <c r="AK93" s="47"/>
      <c r="AL93" s="47"/>
      <c r="AM93" s="47"/>
      <c r="AN93" s="47" t="s">
        <v>99</v>
      </c>
      <c r="AO93" s="37" t="s">
        <v>2250</v>
      </c>
      <c r="AP93" s="47" t="s">
        <v>212</v>
      </c>
      <c r="AQ93" s="47" t="s">
        <v>2255</v>
      </c>
      <c r="AR93" s="47" t="s">
        <v>214</v>
      </c>
      <c r="AS93" s="47">
        <v>29</v>
      </c>
      <c r="AT93" s="47" t="s">
        <v>2256</v>
      </c>
      <c r="AU93" s="47" t="s">
        <v>2257</v>
      </c>
      <c r="AV93" s="47" t="s">
        <v>393</v>
      </c>
      <c r="AW93" s="47">
        <v>13407301999</v>
      </c>
      <c r="AX93" s="37" t="s">
        <v>2258</v>
      </c>
      <c r="AY93" s="47">
        <v>1</v>
      </c>
      <c r="AZ93" s="123">
        <v>45994</v>
      </c>
      <c r="BA93" s="123">
        <v>46176</v>
      </c>
      <c r="BB93" s="47" t="s">
        <v>1407</v>
      </c>
      <c r="BC93" s="47"/>
      <c r="BD93" s="47"/>
      <c r="BE93" s="123">
        <v>46164</v>
      </c>
      <c r="BF93" s="37" t="s">
        <v>2259</v>
      </c>
      <c r="BG93" s="47"/>
      <c r="BH93" s="37"/>
      <c r="BI93" s="47"/>
      <c r="BJ93" s="47"/>
      <c r="BK93" s="47"/>
      <c r="BL93" s="269" t="s">
        <v>2260</v>
      </c>
      <c r="BM93" s="47"/>
      <c r="BN93" s="37"/>
      <c r="BO93" s="47"/>
      <c r="BP93" s="47"/>
      <c r="BQ93" s="47"/>
      <c r="BR93" s="47"/>
      <c r="BS93" s="47" t="s">
        <v>111</v>
      </c>
      <c r="BT93" s="47">
        <v>504</v>
      </c>
      <c r="BU93" s="208" t="s">
        <v>2261</v>
      </c>
      <c r="BV93" s="47"/>
      <c r="BW93" s="47"/>
      <c r="BX93" s="123">
        <v>46113</v>
      </c>
      <c r="BY93" s="197">
        <v>1997</v>
      </c>
      <c r="BZ93" s="47">
        <v>1</v>
      </c>
      <c r="CA93" s="47">
        <v>30</v>
      </c>
      <c r="CB93" s="103"/>
    </row>
    <row r="94" s="104" customFormat="1" ht="31" customHeight="1" spans="1:80">
      <c r="A94" s="47">
        <v>80</v>
      </c>
      <c r="B94" s="47" t="s">
        <v>1444</v>
      </c>
      <c r="C94" s="111" t="s">
        <v>1445</v>
      </c>
      <c r="D94" s="111" t="str">
        <f t="shared" si="26"/>
        <v>女</v>
      </c>
      <c r="E94" s="111" t="s">
        <v>81</v>
      </c>
      <c r="F94" s="47" t="s">
        <v>144</v>
      </c>
      <c r="G94" s="117" t="s">
        <v>968</v>
      </c>
      <c r="H94" s="18">
        <v>45748</v>
      </c>
      <c r="I94" s="139" t="s">
        <v>1446</v>
      </c>
      <c r="J94" s="265" t="s">
        <v>1447</v>
      </c>
      <c r="K94" s="58" t="s">
        <v>85</v>
      </c>
      <c r="L94" s="58" t="s">
        <v>1448</v>
      </c>
      <c r="M94" s="47" t="s">
        <v>149</v>
      </c>
      <c r="N94" s="58" t="s">
        <v>1448</v>
      </c>
      <c r="O94" s="32" t="str">
        <f t="shared" si="23"/>
        <v>1982-04-17</v>
      </c>
      <c r="P94" s="34">
        <f ca="1" t="shared" si="24"/>
        <v>44</v>
      </c>
      <c r="Q94" s="47">
        <f ca="1" t="shared" si="25"/>
        <v>1</v>
      </c>
      <c r="R94" s="111" t="s">
        <v>88</v>
      </c>
      <c r="S94" s="47" t="s">
        <v>89</v>
      </c>
      <c r="T94" s="28" t="s">
        <v>90</v>
      </c>
      <c r="U94" s="47" t="s">
        <v>91</v>
      </c>
      <c r="V94" s="47" t="s">
        <v>92</v>
      </c>
      <c r="W94" s="47"/>
      <c r="X94" s="47"/>
      <c r="Y94" s="149" t="s">
        <v>144</v>
      </c>
      <c r="Z94" s="47"/>
      <c r="AA94" s="47"/>
      <c r="AB94" s="47" t="s">
        <v>121</v>
      </c>
      <c r="AC94" s="47"/>
      <c r="AD94" s="47"/>
      <c r="AE94" s="47"/>
      <c r="AF94" s="111" t="s">
        <v>96</v>
      </c>
      <c r="AG94" s="37"/>
      <c r="AH94" s="111"/>
      <c r="AI94" s="47"/>
      <c r="AJ94" s="47"/>
      <c r="AK94" s="47"/>
      <c r="AL94" s="47"/>
      <c r="AM94" s="47"/>
      <c r="AN94" s="111" t="s">
        <v>99</v>
      </c>
      <c r="AO94" s="58" t="s">
        <v>1448</v>
      </c>
      <c r="AP94" s="37" t="s">
        <v>176</v>
      </c>
      <c r="AQ94" s="47" t="s">
        <v>1449</v>
      </c>
      <c r="AR94" s="47" t="s">
        <v>102</v>
      </c>
      <c r="AS94" s="47">
        <v>43</v>
      </c>
      <c r="AT94" s="47" t="s">
        <v>103</v>
      </c>
      <c r="AU94" s="47" t="s">
        <v>1449</v>
      </c>
      <c r="AV94" s="47" t="s">
        <v>104</v>
      </c>
      <c r="AW94" s="111">
        <v>15800085843</v>
      </c>
      <c r="AX94" s="37" t="s">
        <v>1450</v>
      </c>
      <c r="AY94" s="47">
        <v>4</v>
      </c>
      <c r="AZ94" s="50">
        <v>44013</v>
      </c>
      <c r="BA94" s="123">
        <v>46203</v>
      </c>
      <c r="BB94" s="47" t="s">
        <v>106</v>
      </c>
      <c r="BC94" s="47"/>
      <c r="BD94" s="47"/>
      <c r="BE94" s="123">
        <v>45688</v>
      </c>
      <c r="BF94" s="37"/>
      <c r="BG94" s="47"/>
      <c r="BH94" s="37" t="s">
        <v>1451</v>
      </c>
      <c r="BI94" s="37"/>
      <c r="BJ94" s="37"/>
      <c r="BK94" s="47"/>
      <c r="BL94" s="275" t="s">
        <v>1452</v>
      </c>
      <c r="BM94" s="47" t="s">
        <v>109</v>
      </c>
      <c r="BN94" s="37" t="s">
        <v>110</v>
      </c>
      <c r="BO94" s="47">
        <v>2025.04</v>
      </c>
      <c r="BP94" s="58" t="s">
        <v>1453</v>
      </c>
      <c r="BQ94" s="269" t="s">
        <v>1454</v>
      </c>
      <c r="BR94" s="47">
        <v>2025.04</v>
      </c>
      <c r="BS94" s="47" t="s">
        <v>111</v>
      </c>
      <c r="BT94" s="47"/>
      <c r="BU94" s="208" t="s">
        <v>164</v>
      </c>
      <c r="BV94" s="47"/>
      <c r="BW94" s="47"/>
      <c r="BX94" s="200" t="s">
        <v>1455</v>
      </c>
      <c r="BY94" s="224">
        <v>1982</v>
      </c>
      <c r="BZ94" s="165">
        <v>4</v>
      </c>
      <c r="CA94" s="165">
        <v>17</v>
      </c>
      <c r="CB94" s="105"/>
    </row>
    <row r="95" spans="58:58">
      <c r="BF95" s="104"/>
    </row>
    <row r="96" spans="58:58">
      <c r="BF96" s="104"/>
    </row>
    <row r="97" spans="58:58">
      <c r="BF97" s="104"/>
    </row>
    <row r="98" spans="58:58">
      <c r="BF98" s="104"/>
    </row>
    <row r="99" spans="58:58">
      <c r="BF99" s="104"/>
    </row>
    <row r="100" spans="58:58">
      <c r="BF100" s="104"/>
    </row>
    <row r="101" spans="58:58">
      <c r="BF101" s="104"/>
    </row>
    <row r="102" spans="58:58">
      <c r="BF102" s="104"/>
    </row>
    <row r="103" spans="58:58">
      <c r="BF103" s="104"/>
    </row>
    <row r="104" spans="58:58">
      <c r="BF104" s="104"/>
    </row>
    <row r="105" spans="58:58">
      <c r="BF105" s="104"/>
    </row>
    <row r="106" spans="58:58">
      <c r="BF106" s="104"/>
    </row>
    <row r="107" spans="58:58">
      <c r="BF107" s="104"/>
    </row>
    <row r="108" spans="58:58">
      <c r="BF108" s="104"/>
    </row>
    <row r="109" spans="58:58">
      <c r="BF109" s="104"/>
    </row>
    <row r="110" spans="58:58">
      <c r="BF110" s="104"/>
    </row>
    <row r="111" spans="58:58">
      <c r="BF111" s="104"/>
    </row>
    <row r="112" spans="58:58">
      <c r="BF112" s="104"/>
    </row>
    <row r="113" spans="58:58">
      <c r="BF113" s="104"/>
    </row>
    <row r="114" spans="58:58">
      <c r="BF114" s="104"/>
    </row>
    <row r="115" spans="58:58">
      <c r="BF115" s="104"/>
    </row>
    <row r="116" spans="58:58">
      <c r="BF116" s="104"/>
    </row>
    <row r="117" spans="58:58">
      <c r="BF117" s="104"/>
    </row>
    <row r="118" spans="58:58">
      <c r="BF118" s="104"/>
    </row>
    <row r="119" spans="58:58">
      <c r="BF119" s="104"/>
    </row>
    <row r="120" spans="58:58">
      <c r="BF120" s="104"/>
    </row>
    <row r="121" spans="58:58">
      <c r="BF121" s="104"/>
    </row>
    <row r="122" spans="58:58">
      <c r="BF122" s="104"/>
    </row>
    <row r="123" spans="58:58">
      <c r="BF123" s="104"/>
    </row>
    <row r="124" spans="58:58">
      <c r="BF124" s="104"/>
    </row>
    <row r="125" spans="58:58">
      <c r="BF125" s="104"/>
    </row>
    <row r="126" spans="58:58">
      <c r="BF126" s="104"/>
    </row>
    <row r="127" spans="58:58">
      <c r="BF127" s="104"/>
    </row>
    <row r="128" spans="58:58">
      <c r="BF128" s="104"/>
    </row>
    <row r="129" spans="58:58">
      <c r="BF129" s="104"/>
    </row>
    <row r="130" spans="58:58">
      <c r="BF130" s="104"/>
    </row>
    <row r="131" spans="58:58">
      <c r="BF131" s="104"/>
    </row>
    <row r="132" spans="58:58">
      <c r="BF132" s="104"/>
    </row>
    <row r="133" spans="58:58">
      <c r="BF133" s="104"/>
    </row>
    <row r="134" spans="58:58">
      <c r="BF134" s="104"/>
    </row>
    <row r="135" spans="58:58">
      <c r="BF135" s="104"/>
    </row>
    <row r="136" spans="58:58">
      <c r="BF136" s="104"/>
    </row>
    <row r="137" spans="58:58">
      <c r="BF137" s="104"/>
    </row>
    <row r="138" spans="58:58">
      <c r="BF138" s="104"/>
    </row>
    <row r="139" spans="58:58">
      <c r="BF139" s="104"/>
    </row>
    <row r="140" spans="58:58">
      <c r="BF140" s="104"/>
    </row>
    <row r="141" spans="58:58">
      <c r="BF141" s="104"/>
    </row>
    <row r="142" spans="58:58">
      <c r="BF142" s="104"/>
    </row>
    <row r="143" spans="58:58">
      <c r="BF143" s="104"/>
    </row>
    <row r="144" spans="58:58">
      <c r="BF144" s="104"/>
    </row>
    <row r="145" spans="58:58">
      <c r="BF145" s="104"/>
    </row>
    <row r="146" spans="58:58">
      <c r="BF146" s="104"/>
    </row>
    <row r="147" spans="58:58">
      <c r="BF147" s="104"/>
    </row>
    <row r="148" spans="58:58">
      <c r="BF148" s="104"/>
    </row>
    <row r="149" spans="58:58">
      <c r="BF149" s="104"/>
    </row>
    <row r="150" spans="58:58">
      <c r="BF150" s="104"/>
    </row>
    <row r="151" spans="58:58">
      <c r="BF151" s="104"/>
    </row>
    <row r="152" spans="58:58">
      <c r="BF152" s="104"/>
    </row>
    <row r="153" spans="58:58">
      <c r="BF153" s="104"/>
    </row>
  </sheetData>
  <autoFilter ref="A52:BX83">
    <extLst/>
  </autoFilter>
  <mergeCells count="27">
    <mergeCell ref="B1:U1"/>
    <mergeCell ref="V1:X1"/>
    <mergeCell ref="Y1:AE1"/>
    <mergeCell ref="AF1:AM1"/>
    <mergeCell ref="AN1:AW1"/>
    <mergeCell ref="AX1:BH1"/>
    <mergeCell ref="BI1:BR1"/>
    <mergeCell ref="BS1:BW1"/>
    <mergeCell ref="A49:G49"/>
    <mergeCell ref="B51:U51"/>
    <mergeCell ref="V51:X51"/>
    <mergeCell ref="Y51:AE51"/>
    <mergeCell ref="AF51:AM51"/>
    <mergeCell ref="AN51:AW51"/>
    <mergeCell ref="AX51:BH51"/>
    <mergeCell ref="BI51:BR51"/>
    <mergeCell ref="BS51:BW51"/>
    <mergeCell ref="B85:U85"/>
    <mergeCell ref="V85:X85"/>
    <mergeCell ref="Y85:AE85"/>
    <mergeCell ref="AF85:AM85"/>
    <mergeCell ref="AN85:AW85"/>
    <mergeCell ref="AX85:BH85"/>
    <mergeCell ref="BI85:BR85"/>
    <mergeCell ref="BS85:BW85"/>
    <mergeCell ref="BX1:BX2"/>
    <mergeCell ref="BX51:BX52"/>
  </mergeCells>
  <conditionalFormatting sqref="O57">
    <cfRule type="duplicateValues" dxfId="0" priority="73"/>
    <cfRule type="duplicateValues" dxfId="1" priority="74"/>
  </conditionalFormatting>
  <conditionalFormatting sqref="O58">
    <cfRule type="duplicateValues" dxfId="0" priority="71"/>
    <cfRule type="duplicateValues" dxfId="1" priority="72"/>
  </conditionalFormatting>
  <conditionalFormatting sqref="O59">
    <cfRule type="duplicateValues" dxfId="0" priority="67"/>
    <cfRule type="duplicateValues" dxfId="1" priority="68"/>
  </conditionalFormatting>
  <conditionalFormatting sqref="O60">
    <cfRule type="duplicateValues" dxfId="0" priority="65"/>
    <cfRule type="duplicateValues" dxfId="1" priority="66"/>
  </conditionalFormatting>
  <conditionalFormatting sqref="O61">
    <cfRule type="duplicateValues" dxfId="0" priority="63"/>
    <cfRule type="duplicateValues" dxfId="1" priority="64"/>
  </conditionalFormatting>
  <conditionalFormatting sqref="O62">
    <cfRule type="duplicateValues" dxfId="0" priority="61"/>
    <cfRule type="duplicateValues" dxfId="1" priority="62"/>
  </conditionalFormatting>
  <conditionalFormatting sqref="O63">
    <cfRule type="duplicateValues" dxfId="0" priority="59"/>
    <cfRule type="duplicateValues" dxfId="1" priority="60"/>
  </conditionalFormatting>
  <conditionalFormatting sqref="O65">
    <cfRule type="duplicateValues" dxfId="0" priority="57"/>
    <cfRule type="duplicateValues" dxfId="1" priority="58"/>
  </conditionalFormatting>
  <conditionalFormatting sqref="O66">
    <cfRule type="duplicateValues" dxfId="0" priority="55"/>
    <cfRule type="duplicateValues" dxfId="1" priority="56"/>
  </conditionalFormatting>
  <conditionalFormatting sqref="O68">
    <cfRule type="duplicateValues" dxfId="0" priority="53"/>
    <cfRule type="duplicateValues" dxfId="1" priority="54"/>
  </conditionalFormatting>
  <conditionalFormatting sqref="O70">
    <cfRule type="duplicateValues" dxfId="1" priority="52"/>
    <cfRule type="duplicateValues" dxfId="0" priority="51"/>
  </conditionalFormatting>
  <conditionalFormatting sqref="O71">
    <cfRule type="duplicateValues" dxfId="0" priority="49"/>
    <cfRule type="duplicateValues" dxfId="1" priority="50"/>
  </conditionalFormatting>
  <conditionalFormatting sqref="O72">
    <cfRule type="duplicateValues" dxfId="0" priority="47"/>
    <cfRule type="duplicateValues" dxfId="1" priority="48"/>
  </conditionalFormatting>
  <conditionalFormatting sqref="O73">
    <cfRule type="duplicateValues" dxfId="0" priority="41"/>
    <cfRule type="duplicateValues" dxfId="1" priority="42"/>
  </conditionalFormatting>
  <conditionalFormatting sqref="O74">
    <cfRule type="duplicateValues" dxfId="0" priority="39"/>
    <cfRule type="duplicateValues" dxfId="1" priority="40"/>
  </conditionalFormatting>
  <conditionalFormatting sqref="O75:P75">
    <cfRule type="duplicateValues" dxfId="0" priority="37"/>
    <cfRule type="duplicateValues" dxfId="1" priority="38"/>
  </conditionalFormatting>
  <conditionalFormatting sqref="O76">
    <cfRule type="duplicateValues" dxfId="0" priority="35"/>
    <cfRule type="duplicateValues" dxfId="1" priority="36"/>
  </conditionalFormatting>
  <conditionalFormatting sqref="O77">
    <cfRule type="duplicateValues" dxfId="1" priority="32"/>
    <cfRule type="duplicateValues" dxfId="0" priority="30"/>
  </conditionalFormatting>
  <conditionalFormatting sqref="O78">
    <cfRule type="duplicateValues" dxfId="0" priority="27"/>
    <cfRule type="duplicateValues" dxfId="1" priority="28"/>
  </conditionalFormatting>
  <conditionalFormatting sqref="O79">
    <cfRule type="duplicateValues" dxfId="1" priority="26"/>
    <cfRule type="duplicateValues" dxfId="0" priority="25"/>
  </conditionalFormatting>
  <conditionalFormatting sqref="O80">
    <cfRule type="duplicateValues" dxfId="1" priority="24"/>
    <cfRule type="duplicateValues" dxfId="0" priority="23"/>
  </conditionalFormatting>
  <conditionalFormatting sqref="O81">
    <cfRule type="duplicateValues" dxfId="1" priority="22"/>
    <cfRule type="duplicateValues" dxfId="0" priority="21"/>
  </conditionalFormatting>
  <conditionalFormatting sqref="O82">
    <cfRule type="duplicateValues" dxfId="1" priority="20"/>
    <cfRule type="duplicateValues" dxfId="0" priority="19"/>
  </conditionalFormatting>
  <conditionalFormatting sqref="O83">
    <cfRule type="duplicateValues" dxfId="1" priority="18"/>
    <cfRule type="duplicateValues" dxfId="0" priority="17"/>
  </conditionalFormatting>
  <conditionalFormatting sqref="O87">
    <cfRule type="duplicateValues" dxfId="0" priority="15"/>
    <cfRule type="duplicateValues" dxfId="1" priority="16"/>
  </conditionalFormatting>
  <conditionalFormatting sqref="O88">
    <cfRule type="duplicateValues" dxfId="1" priority="14"/>
    <cfRule type="duplicateValues" dxfId="0" priority="13"/>
  </conditionalFormatting>
  <conditionalFormatting sqref="O89">
    <cfRule type="duplicateValues" dxfId="1" priority="12"/>
    <cfRule type="duplicateValues" dxfId="0" priority="11"/>
  </conditionalFormatting>
  <conditionalFormatting sqref="O90">
    <cfRule type="duplicateValues" dxfId="1" priority="10"/>
    <cfRule type="duplicateValues" dxfId="0" priority="9"/>
  </conditionalFormatting>
  <conditionalFormatting sqref="O91">
    <cfRule type="duplicateValues" dxfId="1" priority="8"/>
    <cfRule type="duplicateValues" dxfId="0" priority="7"/>
  </conditionalFormatting>
  <conditionalFormatting sqref="O92">
    <cfRule type="duplicateValues" dxfId="1" priority="6"/>
    <cfRule type="duplicateValues" dxfId="0" priority="5"/>
  </conditionalFormatting>
  <conditionalFormatting sqref="O93">
    <cfRule type="duplicateValues" dxfId="1" priority="4"/>
    <cfRule type="duplicateValues" dxfId="0" priority="3"/>
  </conditionalFormatting>
  <conditionalFormatting sqref="O94">
    <cfRule type="duplicateValues" dxfId="1" priority="2"/>
    <cfRule type="duplicateValues" dxfId="0" priority="1"/>
  </conditionalFormatting>
  <conditionalFormatting sqref="O54:O56">
    <cfRule type="duplicateValues" dxfId="0" priority="77"/>
    <cfRule type="duplicateValues" dxfId="1" priority="78"/>
  </conditionalFormatting>
  <pageMargins left="0.75" right="0.75" top="1" bottom="1" header="0.5" footer="0.5"/>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1"/>
  <sheetViews>
    <sheetView topLeftCell="A22" workbookViewId="0">
      <selection activeCell="F26" sqref="F26"/>
    </sheetView>
  </sheetViews>
  <sheetFormatPr defaultColWidth="9" defaultRowHeight="16.8"/>
  <cols>
    <col min="1" max="1" width="6.25" style="70" customWidth="1"/>
    <col min="2" max="2" width="7.5" style="70" customWidth="1"/>
    <col min="3" max="3" width="13" style="70" customWidth="1"/>
    <col min="4" max="4" width="7" style="70" customWidth="1"/>
    <col min="5" max="5" width="9" style="70" customWidth="1"/>
    <col min="6" max="6" width="10.375" style="70" customWidth="1"/>
    <col min="7" max="7" width="12.625" style="70" customWidth="1"/>
    <col min="8" max="8" width="20.375" style="70" customWidth="1"/>
    <col min="9" max="9" width="9" style="70" customWidth="1"/>
    <col min="10" max="10" width="30.875" style="70" customWidth="1"/>
    <col min="11" max="11" width="11.5" style="70"/>
    <col min="12" max="13" width="9" style="70"/>
    <col min="14" max="14" width="9" style="70" customWidth="1"/>
    <col min="15" max="17" width="9" style="70"/>
    <col min="18" max="18" width="12.625" style="70"/>
    <col min="19" max="16384" width="9" style="70"/>
  </cols>
  <sheetData>
    <row r="1" ht="28" customHeight="1" spans="1:18">
      <c r="A1" s="71" t="s">
        <v>1489</v>
      </c>
      <c r="B1" s="71"/>
      <c r="C1" s="71"/>
      <c r="D1" s="71"/>
      <c r="E1" s="71"/>
      <c r="F1" s="71"/>
      <c r="G1" s="71"/>
      <c r="H1" s="71"/>
      <c r="I1" s="71"/>
      <c r="J1" s="71"/>
      <c r="K1" s="71"/>
      <c r="L1" s="71"/>
      <c r="M1" s="71"/>
      <c r="N1" s="71"/>
      <c r="O1" s="71"/>
      <c r="P1" s="71"/>
      <c r="Q1" s="71"/>
      <c r="R1" s="71"/>
    </row>
    <row r="2" s="67" customFormat="1" ht="31" customHeight="1" spans="1:18">
      <c r="A2" s="72" t="s">
        <v>8</v>
      </c>
      <c r="B2" s="72" t="s">
        <v>10</v>
      </c>
      <c r="C2" s="72" t="s">
        <v>2262</v>
      </c>
      <c r="D2" s="72" t="s">
        <v>11</v>
      </c>
      <c r="E2" s="72" t="s">
        <v>14</v>
      </c>
      <c r="F2" s="72" t="s">
        <v>15</v>
      </c>
      <c r="G2" s="72" t="s">
        <v>16</v>
      </c>
      <c r="H2" s="72" t="s">
        <v>17</v>
      </c>
      <c r="I2" s="72" t="s">
        <v>18</v>
      </c>
      <c r="J2" s="72" t="s">
        <v>19</v>
      </c>
      <c r="K2" s="72" t="s">
        <v>22</v>
      </c>
      <c r="L2" s="72" t="s">
        <v>23</v>
      </c>
      <c r="M2" s="72" t="s">
        <v>25</v>
      </c>
      <c r="N2" s="72" t="s">
        <v>39</v>
      </c>
      <c r="O2" s="72" t="s">
        <v>133</v>
      </c>
      <c r="P2" s="72" t="s">
        <v>49</v>
      </c>
      <c r="Q2" s="72" t="s">
        <v>50</v>
      </c>
      <c r="R2" s="72" t="s">
        <v>51</v>
      </c>
    </row>
    <row r="3" s="67" customFormat="1" ht="31" customHeight="1" spans="1:18">
      <c r="A3" s="73">
        <v>1</v>
      </c>
      <c r="B3" s="74" t="s">
        <v>410</v>
      </c>
      <c r="C3" s="74" t="s">
        <v>2263</v>
      </c>
      <c r="D3" s="75" t="str">
        <f>IF(MOD(MID(H3,17,1),2)=1,"男","女")</f>
        <v>男</v>
      </c>
      <c r="E3" s="83" t="s">
        <v>2264</v>
      </c>
      <c r="F3" s="84">
        <v>45323</v>
      </c>
      <c r="G3" s="85">
        <v>15972619098</v>
      </c>
      <c r="H3" s="86" t="s">
        <v>1518</v>
      </c>
      <c r="I3" s="74" t="s">
        <v>1519</v>
      </c>
      <c r="J3" s="74" t="s">
        <v>1520</v>
      </c>
      <c r="K3" s="94" t="s">
        <v>1521</v>
      </c>
      <c r="L3" s="95">
        <v>70.5506849315069</v>
      </c>
      <c r="M3" s="74" t="s">
        <v>88</v>
      </c>
      <c r="N3" s="85" t="s">
        <v>122</v>
      </c>
      <c r="O3" s="99" t="s">
        <v>99</v>
      </c>
      <c r="P3" s="72" t="s">
        <v>1524</v>
      </c>
      <c r="Q3" s="72" t="s">
        <v>104</v>
      </c>
      <c r="R3" s="85">
        <v>13593789057</v>
      </c>
    </row>
    <row r="4" s="68" customFormat="1" ht="27" customHeight="1" spans="1:18">
      <c r="A4" s="73">
        <v>2</v>
      </c>
      <c r="B4" s="73" t="s">
        <v>2265</v>
      </c>
      <c r="C4" s="74" t="s">
        <v>2263</v>
      </c>
      <c r="D4" s="73" t="s">
        <v>102</v>
      </c>
      <c r="E4" s="73" t="s">
        <v>2264</v>
      </c>
      <c r="F4" s="84">
        <v>45323</v>
      </c>
      <c r="G4" s="73">
        <v>13477578395</v>
      </c>
      <c r="H4" s="287" t="s">
        <v>2266</v>
      </c>
      <c r="I4" s="73" t="s">
        <v>116</v>
      </c>
      <c r="J4" s="73" t="s">
        <v>2267</v>
      </c>
      <c r="K4" s="94">
        <v>26368</v>
      </c>
      <c r="L4" s="95">
        <f>2024-1972</f>
        <v>52</v>
      </c>
      <c r="M4" s="73" t="s">
        <v>88</v>
      </c>
      <c r="N4" s="85" t="s">
        <v>122</v>
      </c>
      <c r="O4" s="99" t="s">
        <v>99</v>
      </c>
      <c r="P4" s="73" t="s">
        <v>2268</v>
      </c>
      <c r="Q4" s="72" t="s">
        <v>104</v>
      </c>
      <c r="R4" s="73">
        <v>13872933812</v>
      </c>
    </row>
    <row r="5" s="68" customFormat="1" ht="27" customHeight="1" spans="1:18">
      <c r="A5" s="73">
        <v>3</v>
      </c>
      <c r="B5" s="73" t="s">
        <v>2268</v>
      </c>
      <c r="C5" s="74" t="s">
        <v>2263</v>
      </c>
      <c r="D5" s="73" t="s">
        <v>214</v>
      </c>
      <c r="E5" s="73" t="s">
        <v>2264</v>
      </c>
      <c r="F5" s="84">
        <v>45323</v>
      </c>
      <c r="G5" s="73">
        <v>13872933812</v>
      </c>
      <c r="H5" s="287" t="s">
        <v>2269</v>
      </c>
      <c r="I5" s="73" t="s">
        <v>116</v>
      </c>
      <c r="J5" s="73" t="s">
        <v>2267</v>
      </c>
      <c r="K5" s="94">
        <v>25950</v>
      </c>
      <c r="L5" s="95">
        <f>2024-1971</f>
        <v>53</v>
      </c>
      <c r="M5" s="73" t="s">
        <v>88</v>
      </c>
      <c r="N5" s="85" t="s">
        <v>122</v>
      </c>
      <c r="O5" s="99" t="s">
        <v>99</v>
      </c>
      <c r="P5" s="73" t="s">
        <v>2265</v>
      </c>
      <c r="Q5" s="72" t="s">
        <v>104</v>
      </c>
      <c r="R5" s="73">
        <v>13477578395</v>
      </c>
    </row>
    <row r="6" s="68" customFormat="1" ht="27" customHeight="1" spans="1:18">
      <c r="A6" s="73">
        <v>4</v>
      </c>
      <c r="B6" s="73" t="s">
        <v>1524</v>
      </c>
      <c r="C6" s="74" t="s">
        <v>2263</v>
      </c>
      <c r="D6" s="73" t="s">
        <v>214</v>
      </c>
      <c r="E6" s="73" t="s">
        <v>2264</v>
      </c>
      <c r="F6" s="84"/>
      <c r="G6" s="73"/>
      <c r="H6" s="287" t="s">
        <v>2270</v>
      </c>
      <c r="I6" s="73"/>
      <c r="J6" s="73"/>
      <c r="K6" s="94"/>
      <c r="L6" s="95">
        <v>70</v>
      </c>
      <c r="M6" s="73"/>
      <c r="N6" s="85"/>
      <c r="O6" s="99"/>
      <c r="P6" s="73"/>
      <c r="Q6" s="72"/>
      <c r="R6" s="73"/>
    </row>
    <row r="7" s="69" customFormat="1" ht="27" customHeight="1" spans="1:18">
      <c r="A7" s="73">
        <v>5</v>
      </c>
      <c r="B7" s="76" t="s">
        <v>2271</v>
      </c>
      <c r="C7" s="77" t="s">
        <v>1754</v>
      </c>
      <c r="D7" s="78" t="s">
        <v>102</v>
      </c>
      <c r="E7" s="77" t="s">
        <v>1754</v>
      </c>
      <c r="F7" s="87"/>
      <c r="G7" s="88">
        <v>13093217835</v>
      </c>
      <c r="H7" s="288" t="s">
        <v>2272</v>
      </c>
      <c r="I7" s="96"/>
      <c r="J7" s="96"/>
      <c r="K7" s="97"/>
      <c r="L7" s="98"/>
      <c r="M7" s="96"/>
      <c r="N7" s="80"/>
      <c r="O7" s="80"/>
      <c r="P7" s="96"/>
      <c r="Q7" s="79"/>
      <c r="R7" s="96"/>
    </row>
    <row r="8" s="69" customFormat="1" ht="27" customHeight="1" spans="1:18">
      <c r="A8" s="73">
        <v>6</v>
      </c>
      <c r="B8" s="76" t="s">
        <v>2273</v>
      </c>
      <c r="C8" s="77" t="s">
        <v>1754</v>
      </c>
      <c r="D8" s="78" t="s">
        <v>214</v>
      </c>
      <c r="E8" s="77" t="s">
        <v>1754</v>
      </c>
      <c r="F8" s="87"/>
      <c r="G8" s="88">
        <v>13593781257</v>
      </c>
      <c r="H8" s="289" t="s">
        <v>2274</v>
      </c>
      <c r="I8" s="96"/>
      <c r="J8" s="96"/>
      <c r="K8" s="97"/>
      <c r="L8" s="98"/>
      <c r="M8" s="96"/>
      <c r="N8" s="80"/>
      <c r="O8" s="80"/>
      <c r="P8" s="96"/>
      <c r="Q8" s="79"/>
      <c r="R8" s="96"/>
    </row>
    <row r="9" s="69" customFormat="1" ht="27" customHeight="1" spans="1:18">
      <c r="A9" s="73">
        <v>7</v>
      </c>
      <c r="B9" s="76" t="s">
        <v>2275</v>
      </c>
      <c r="C9" s="77" t="s">
        <v>1754</v>
      </c>
      <c r="D9" s="78" t="s">
        <v>214</v>
      </c>
      <c r="E9" s="77" t="s">
        <v>1754</v>
      </c>
      <c r="F9" s="87"/>
      <c r="G9" s="88">
        <v>15327537216</v>
      </c>
      <c r="H9" s="289" t="s">
        <v>2276</v>
      </c>
      <c r="I9" s="96"/>
      <c r="J9" s="96"/>
      <c r="K9" s="97"/>
      <c r="L9" s="98"/>
      <c r="M9" s="96"/>
      <c r="N9" s="80"/>
      <c r="O9" s="80"/>
      <c r="P9" s="96"/>
      <c r="Q9" s="79"/>
      <c r="R9" s="96"/>
    </row>
    <row r="10" s="69" customFormat="1" ht="27" customHeight="1" spans="1:18">
      <c r="A10" s="73">
        <v>8</v>
      </c>
      <c r="B10" s="76" t="s">
        <v>2277</v>
      </c>
      <c r="C10" s="77" t="s">
        <v>1754</v>
      </c>
      <c r="D10" s="78" t="s">
        <v>214</v>
      </c>
      <c r="E10" s="77" t="s">
        <v>1754</v>
      </c>
      <c r="F10" s="87"/>
      <c r="G10" s="88">
        <v>13657152903</v>
      </c>
      <c r="H10" s="89" t="s">
        <v>2278</v>
      </c>
      <c r="I10" s="96"/>
      <c r="J10" s="96"/>
      <c r="K10" s="97"/>
      <c r="L10" s="98"/>
      <c r="M10" s="96"/>
      <c r="N10" s="80"/>
      <c r="O10" s="80"/>
      <c r="P10" s="96"/>
      <c r="Q10" s="79"/>
      <c r="R10" s="96"/>
    </row>
    <row r="11" s="69" customFormat="1" ht="27" customHeight="1" spans="1:18">
      <c r="A11" s="73">
        <v>9</v>
      </c>
      <c r="B11" s="76" t="s">
        <v>2279</v>
      </c>
      <c r="C11" s="77" t="s">
        <v>1754</v>
      </c>
      <c r="D11" s="78" t="s">
        <v>102</v>
      </c>
      <c r="E11" s="77" t="s">
        <v>1754</v>
      </c>
      <c r="F11" s="87"/>
      <c r="G11" s="88">
        <v>18407241959</v>
      </c>
      <c r="H11" s="289" t="s">
        <v>2280</v>
      </c>
      <c r="I11" s="96"/>
      <c r="J11" s="96"/>
      <c r="K11" s="97"/>
      <c r="L11" s="98"/>
      <c r="M11" s="96"/>
      <c r="N11" s="80"/>
      <c r="O11" s="80"/>
      <c r="P11" s="96"/>
      <c r="Q11" s="79"/>
      <c r="R11" s="96"/>
    </row>
    <row r="12" s="69" customFormat="1" ht="27" customHeight="1" spans="1:18">
      <c r="A12" s="73">
        <v>10</v>
      </c>
      <c r="B12" s="79" t="s">
        <v>2281</v>
      </c>
      <c r="C12" s="77" t="s">
        <v>1754</v>
      </c>
      <c r="D12" s="78" t="s">
        <v>102</v>
      </c>
      <c r="E12" s="77" t="s">
        <v>1754</v>
      </c>
      <c r="F12" s="87"/>
      <c r="G12" s="88">
        <v>15872965223</v>
      </c>
      <c r="H12" s="289" t="s">
        <v>2282</v>
      </c>
      <c r="I12" s="96"/>
      <c r="J12" s="96"/>
      <c r="K12" s="97"/>
      <c r="L12" s="98"/>
      <c r="M12" s="96"/>
      <c r="N12" s="80"/>
      <c r="O12" s="80"/>
      <c r="P12" s="96"/>
      <c r="Q12" s="79"/>
      <c r="R12" s="96"/>
    </row>
    <row r="13" s="69" customFormat="1" ht="27" customHeight="1" spans="1:18">
      <c r="A13" s="73">
        <v>11</v>
      </c>
      <c r="B13" s="79" t="s">
        <v>2283</v>
      </c>
      <c r="C13" s="77" t="s">
        <v>1754</v>
      </c>
      <c r="D13" s="78" t="s">
        <v>214</v>
      </c>
      <c r="E13" s="77" t="s">
        <v>1754</v>
      </c>
      <c r="F13" s="87"/>
      <c r="G13" s="88">
        <v>15872901252</v>
      </c>
      <c r="H13" s="289" t="s">
        <v>2284</v>
      </c>
      <c r="I13" s="96"/>
      <c r="J13" s="96"/>
      <c r="K13" s="97"/>
      <c r="L13" s="98"/>
      <c r="M13" s="96"/>
      <c r="N13" s="80"/>
      <c r="O13" s="80"/>
      <c r="P13" s="96"/>
      <c r="Q13" s="79"/>
      <c r="R13" s="96"/>
    </row>
    <row r="14" s="69" customFormat="1" ht="27" customHeight="1" spans="1:18">
      <c r="A14" s="73">
        <v>12</v>
      </c>
      <c r="B14" s="76" t="s">
        <v>2285</v>
      </c>
      <c r="C14" s="77" t="s">
        <v>1754</v>
      </c>
      <c r="D14" s="78" t="s">
        <v>214</v>
      </c>
      <c r="E14" s="77" t="s">
        <v>1754</v>
      </c>
      <c r="F14" s="87"/>
      <c r="G14" s="90">
        <v>13310521728</v>
      </c>
      <c r="H14" s="288" t="s">
        <v>2286</v>
      </c>
      <c r="I14" s="96"/>
      <c r="J14" s="96"/>
      <c r="K14" s="97"/>
      <c r="L14" s="98"/>
      <c r="M14" s="96"/>
      <c r="N14" s="80"/>
      <c r="O14" s="80"/>
      <c r="P14" s="96"/>
      <c r="Q14" s="79"/>
      <c r="R14" s="96"/>
    </row>
    <row r="15" s="69" customFormat="1" ht="27" customHeight="1" spans="1:18">
      <c r="A15" s="73">
        <v>13</v>
      </c>
      <c r="B15" s="80" t="s">
        <v>2287</v>
      </c>
      <c r="C15" s="77" t="s">
        <v>1754</v>
      </c>
      <c r="D15" s="78" t="s">
        <v>214</v>
      </c>
      <c r="E15" s="77" t="s">
        <v>1754</v>
      </c>
      <c r="F15" s="87"/>
      <c r="G15" s="80">
        <v>15872896086</v>
      </c>
      <c r="H15" s="290" t="s">
        <v>2288</v>
      </c>
      <c r="I15" s="96"/>
      <c r="J15" s="96"/>
      <c r="K15" s="97"/>
      <c r="L15" s="98"/>
      <c r="M15" s="96"/>
      <c r="N15" s="80"/>
      <c r="O15" s="80"/>
      <c r="P15" s="96"/>
      <c r="Q15" s="79"/>
      <c r="R15" s="96"/>
    </row>
    <row r="16" s="69" customFormat="1" ht="27" customHeight="1" spans="1:18">
      <c r="A16" s="73">
        <v>14</v>
      </c>
      <c r="B16" s="76" t="s">
        <v>2289</v>
      </c>
      <c r="C16" s="77" t="s">
        <v>1754</v>
      </c>
      <c r="D16" s="78" t="s">
        <v>102</v>
      </c>
      <c r="E16" s="77" t="s">
        <v>1754</v>
      </c>
      <c r="F16" s="87"/>
      <c r="G16" s="90">
        <v>13581345410</v>
      </c>
      <c r="H16" s="288" t="s">
        <v>2290</v>
      </c>
      <c r="I16" s="96"/>
      <c r="J16" s="96"/>
      <c r="K16" s="97"/>
      <c r="L16" s="98"/>
      <c r="M16" s="96"/>
      <c r="N16" s="80"/>
      <c r="O16" s="80"/>
      <c r="P16" s="96"/>
      <c r="Q16" s="79"/>
      <c r="R16" s="96"/>
    </row>
    <row r="17" s="69" customFormat="1" ht="27" customHeight="1" spans="1:18">
      <c r="A17" s="73">
        <v>15</v>
      </c>
      <c r="B17" s="76" t="s">
        <v>2291</v>
      </c>
      <c r="C17" s="77" t="s">
        <v>1754</v>
      </c>
      <c r="D17" s="78" t="s">
        <v>214</v>
      </c>
      <c r="E17" s="77" t="s">
        <v>1754</v>
      </c>
      <c r="F17" s="87"/>
      <c r="G17" s="88">
        <v>13986967243</v>
      </c>
      <c r="H17" s="291" t="s">
        <v>2292</v>
      </c>
      <c r="I17" s="96"/>
      <c r="J17" s="96"/>
      <c r="K17" s="97"/>
      <c r="L17" s="98"/>
      <c r="M17" s="96"/>
      <c r="N17" s="80"/>
      <c r="O17" s="80"/>
      <c r="P17" s="96"/>
      <c r="Q17" s="79"/>
      <c r="R17" s="96"/>
    </row>
    <row r="18" s="69" customFormat="1" ht="27" customHeight="1" spans="1:18">
      <c r="A18" s="73">
        <v>16</v>
      </c>
      <c r="B18" s="76" t="s">
        <v>2293</v>
      </c>
      <c r="C18" s="77" t="s">
        <v>1754</v>
      </c>
      <c r="D18" s="78" t="s">
        <v>102</v>
      </c>
      <c r="E18" s="77" t="s">
        <v>1754</v>
      </c>
      <c r="F18" s="87"/>
      <c r="G18" s="88">
        <v>13428650337</v>
      </c>
      <c r="H18" s="288" t="s">
        <v>2294</v>
      </c>
      <c r="I18" s="96"/>
      <c r="J18" s="96"/>
      <c r="K18" s="97"/>
      <c r="L18" s="98"/>
      <c r="M18" s="96"/>
      <c r="N18" s="80"/>
      <c r="O18" s="80"/>
      <c r="P18" s="96"/>
      <c r="Q18" s="79"/>
      <c r="R18" s="96"/>
    </row>
    <row r="19" s="69" customFormat="1" ht="27" customHeight="1" spans="1:18">
      <c r="A19" s="73">
        <v>17</v>
      </c>
      <c r="B19" s="76" t="s">
        <v>2295</v>
      </c>
      <c r="C19" s="77" t="s">
        <v>1754</v>
      </c>
      <c r="D19" s="78" t="s">
        <v>102</v>
      </c>
      <c r="E19" s="77" t="s">
        <v>1754</v>
      </c>
      <c r="F19" s="87"/>
      <c r="G19" s="88">
        <v>13217248186</v>
      </c>
      <c r="H19" s="289" t="s">
        <v>2296</v>
      </c>
      <c r="I19" s="96"/>
      <c r="J19" s="96"/>
      <c r="K19" s="97"/>
      <c r="L19" s="98"/>
      <c r="M19" s="96"/>
      <c r="N19" s="80"/>
      <c r="O19" s="80"/>
      <c r="P19" s="96"/>
      <c r="Q19" s="79"/>
      <c r="R19" s="96"/>
    </row>
    <row r="20" ht="22" customHeight="1" spans="1:7">
      <c r="A20" s="81" t="s">
        <v>2004</v>
      </c>
      <c r="B20" s="81"/>
      <c r="C20" s="81"/>
      <c r="D20" s="81"/>
      <c r="E20" s="81"/>
      <c r="F20" s="81"/>
      <c r="G20" s="81"/>
    </row>
    <row r="21" spans="6:6">
      <c r="F21" s="92"/>
    </row>
    <row r="22" spans="6:6">
      <c r="F22" s="92"/>
    </row>
    <row r="23" ht="28" customHeight="1" spans="1:18">
      <c r="A23" s="71" t="s">
        <v>2005</v>
      </c>
      <c r="B23" s="71"/>
      <c r="C23" s="71"/>
      <c r="D23" s="71"/>
      <c r="E23" s="71"/>
      <c r="F23" s="71"/>
      <c r="G23" s="71"/>
      <c r="H23" s="71"/>
      <c r="I23" s="71"/>
      <c r="J23" s="71"/>
      <c r="K23" s="71"/>
      <c r="L23" s="71"/>
      <c r="M23" s="71"/>
      <c r="N23" s="71"/>
      <c r="O23" s="71"/>
      <c r="P23" s="71"/>
      <c r="Q23" s="71"/>
      <c r="R23" s="71"/>
    </row>
    <row r="24" s="67" customFormat="1" ht="31" customHeight="1" spans="1:18">
      <c r="A24" s="72" t="s">
        <v>8</v>
      </c>
      <c r="B24" s="72" t="s">
        <v>10</v>
      </c>
      <c r="C24" s="72" t="s">
        <v>2262</v>
      </c>
      <c r="D24" s="72" t="s">
        <v>11</v>
      </c>
      <c r="E24" s="72" t="s">
        <v>14</v>
      </c>
      <c r="F24" s="72" t="s">
        <v>15</v>
      </c>
      <c r="G24" s="72" t="s">
        <v>16</v>
      </c>
      <c r="H24" s="72" t="s">
        <v>17</v>
      </c>
      <c r="I24" s="72" t="s">
        <v>18</v>
      </c>
      <c r="J24" s="72" t="s">
        <v>19</v>
      </c>
      <c r="K24" s="72" t="s">
        <v>22</v>
      </c>
      <c r="L24" s="72" t="s">
        <v>23</v>
      </c>
      <c r="M24" s="72" t="s">
        <v>25</v>
      </c>
      <c r="N24" s="72" t="s">
        <v>39</v>
      </c>
      <c r="O24" s="72" t="s">
        <v>133</v>
      </c>
      <c r="P24" s="72" t="s">
        <v>49</v>
      </c>
      <c r="Q24" s="72" t="s">
        <v>50</v>
      </c>
      <c r="R24" s="72" t="s">
        <v>51</v>
      </c>
    </row>
    <row r="25" s="67" customFormat="1" ht="31" customHeight="1" spans="1:18">
      <c r="A25" s="73">
        <v>1</v>
      </c>
      <c r="B25" s="74" t="s">
        <v>410</v>
      </c>
      <c r="C25" s="74" t="s">
        <v>2263</v>
      </c>
      <c r="D25" s="75" t="str">
        <f>IF(MOD(MID(H25,17,1),2)=1,"男","女")</f>
        <v>男</v>
      </c>
      <c r="E25" s="83" t="s">
        <v>2264</v>
      </c>
      <c r="F25" s="84">
        <v>45323</v>
      </c>
      <c r="G25" s="85">
        <v>15972619098</v>
      </c>
      <c r="H25" s="86" t="s">
        <v>1518</v>
      </c>
      <c r="I25" s="74" t="s">
        <v>1519</v>
      </c>
      <c r="J25" s="74" t="s">
        <v>1520</v>
      </c>
      <c r="K25" s="32" t="str">
        <f>TEXT(MID(H25,7,8),"0-00-00")</f>
        <v>1953-04-16</v>
      </c>
      <c r="L25" s="34">
        <f ca="1">YEAR(TODAY())-MID(H25,7,4)</f>
        <v>73</v>
      </c>
      <c r="M25" s="74" t="s">
        <v>88</v>
      </c>
      <c r="N25" s="85" t="s">
        <v>122</v>
      </c>
      <c r="O25" s="99" t="s">
        <v>99</v>
      </c>
      <c r="P25" s="72" t="s">
        <v>1524</v>
      </c>
      <c r="Q25" s="72" t="s">
        <v>104</v>
      </c>
      <c r="R25" s="85">
        <v>13593789057</v>
      </c>
    </row>
    <row r="26" s="68" customFormat="1" ht="31" customHeight="1" spans="1:18">
      <c r="A26" s="73">
        <v>2</v>
      </c>
      <c r="B26" s="73" t="s">
        <v>1524</v>
      </c>
      <c r="C26" s="74" t="s">
        <v>2263</v>
      </c>
      <c r="D26" s="73" t="s">
        <v>102</v>
      </c>
      <c r="E26" s="73" t="s">
        <v>2264</v>
      </c>
      <c r="F26" s="84">
        <v>45323</v>
      </c>
      <c r="G26" s="73">
        <v>13593789057</v>
      </c>
      <c r="H26" s="287" t="s">
        <v>2270</v>
      </c>
      <c r="I26" s="73"/>
      <c r="J26" s="73"/>
      <c r="K26" s="32" t="str">
        <f>TEXT(MID(H26,7,8),"0-00-00")</f>
        <v>1954-07-14</v>
      </c>
      <c r="L26" s="34">
        <f ca="1">YEAR(TODAY())-MID(H26,7,4)</f>
        <v>72</v>
      </c>
      <c r="M26" s="73"/>
      <c r="N26" s="85"/>
      <c r="O26" s="99"/>
      <c r="P26" s="73"/>
      <c r="Q26" s="72"/>
      <c r="R26" s="73"/>
    </row>
    <row r="27" s="68" customFormat="1" ht="31" customHeight="1" spans="1:18">
      <c r="A27" s="73">
        <v>3</v>
      </c>
      <c r="B27" s="73" t="s">
        <v>2297</v>
      </c>
      <c r="C27" s="74" t="s">
        <v>2263</v>
      </c>
      <c r="D27" s="73" t="s">
        <v>102</v>
      </c>
      <c r="E27" s="73" t="s">
        <v>2264</v>
      </c>
      <c r="F27" s="84">
        <v>45658</v>
      </c>
      <c r="G27" s="73">
        <v>18872432115</v>
      </c>
      <c r="H27" s="287" t="s">
        <v>2298</v>
      </c>
      <c r="I27" s="73"/>
      <c r="J27" s="73"/>
      <c r="K27" s="32" t="str">
        <f>TEXT(MID(H27,7,8),"0-00-00")</f>
        <v>1968-02-26</v>
      </c>
      <c r="L27" s="34">
        <f ca="1">YEAR(TODAY())-MID(H27,7,4)</f>
        <v>58</v>
      </c>
      <c r="M27" s="73"/>
      <c r="N27" s="85"/>
      <c r="O27" s="99"/>
      <c r="P27" s="73"/>
      <c r="Q27" s="72"/>
      <c r="R27" s="73"/>
    </row>
    <row r="28" s="68" customFormat="1" ht="45" customHeight="1" spans="1:18">
      <c r="A28" s="73">
        <v>4</v>
      </c>
      <c r="B28" s="73" t="s">
        <v>2299</v>
      </c>
      <c r="C28" s="74" t="s">
        <v>2263</v>
      </c>
      <c r="D28" s="73" t="s">
        <v>214</v>
      </c>
      <c r="E28" s="73" t="s">
        <v>2300</v>
      </c>
      <c r="F28" s="84">
        <v>45658</v>
      </c>
      <c r="G28" s="73">
        <v>18062460562</v>
      </c>
      <c r="H28" s="287" t="s">
        <v>2301</v>
      </c>
      <c r="I28" s="73"/>
      <c r="J28" s="73"/>
      <c r="K28" s="32" t="str">
        <f>TEXT(MID(H28,7,8),"0-00-00")</f>
        <v>1992-06-06</v>
      </c>
      <c r="L28" s="34">
        <f ca="1">YEAR(TODAY())-MID(H28,7,4)</f>
        <v>34</v>
      </c>
      <c r="M28" s="73"/>
      <c r="N28" s="85"/>
      <c r="O28" s="99"/>
      <c r="P28" s="73"/>
      <c r="Q28" s="72"/>
      <c r="R28" s="73"/>
    </row>
    <row r="29" s="70" customFormat="1" ht="31" customHeight="1" spans="1:18">
      <c r="A29" s="73">
        <v>5</v>
      </c>
      <c r="B29" s="82" t="s">
        <v>2302</v>
      </c>
      <c r="C29" s="74" t="s">
        <v>2263</v>
      </c>
      <c r="D29" s="82" t="s">
        <v>102</v>
      </c>
      <c r="E29" s="82" t="s">
        <v>2264</v>
      </c>
      <c r="F29" s="93">
        <v>45796</v>
      </c>
      <c r="G29" s="82">
        <v>18062461922</v>
      </c>
      <c r="H29" s="292" t="s">
        <v>2303</v>
      </c>
      <c r="I29" s="82"/>
      <c r="J29" s="82" t="s">
        <v>2304</v>
      </c>
      <c r="K29" s="93">
        <v>21811</v>
      </c>
      <c r="L29" s="82">
        <v>66</v>
      </c>
      <c r="M29" s="82" t="s">
        <v>88</v>
      </c>
      <c r="N29" s="82"/>
      <c r="O29" s="82"/>
      <c r="P29" s="82"/>
      <c r="Q29" s="82"/>
      <c r="R29" s="82"/>
    </row>
    <row r="30" ht="31" customHeight="1" spans="1:18">
      <c r="A30" s="82"/>
      <c r="B30" s="82"/>
      <c r="C30" s="82"/>
      <c r="D30" s="82"/>
      <c r="E30" s="82"/>
      <c r="F30" s="82"/>
      <c r="G30" s="82"/>
      <c r="H30" s="82"/>
      <c r="I30" s="82"/>
      <c r="J30" s="82"/>
      <c r="K30" s="82"/>
      <c r="L30" s="82"/>
      <c r="M30" s="82"/>
      <c r="N30" s="82"/>
      <c r="O30" s="82"/>
      <c r="P30" s="82"/>
      <c r="Q30" s="82"/>
      <c r="R30" s="82"/>
    </row>
    <row r="31" ht="31" customHeight="1" spans="1:18">
      <c r="A31" s="82"/>
      <c r="B31" s="82"/>
      <c r="C31" s="82"/>
      <c r="D31" s="82"/>
      <c r="E31" s="82"/>
      <c r="F31" s="82"/>
      <c r="G31" s="82"/>
      <c r="H31" s="82"/>
      <c r="I31" s="82"/>
      <c r="J31" s="82"/>
      <c r="K31" s="82"/>
      <c r="L31" s="82"/>
      <c r="M31" s="82"/>
      <c r="N31" s="82"/>
      <c r="O31" s="82"/>
      <c r="P31" s="82"/>
      <c r="Q31" s="82"/>
      <c r="R31" s="82"/>
    </row>
  </sheetData>
  <mergeCells count="3">
    <mergeCell ref="A1:R1"/>
    <mergeCell ref="A20:G20"/>
    <mergeCell ref="A23:R23"/>
  </mergeCells>
  <conditionalFormatting sqref="E2">
    <cfRule type="duplicateValues" dxfId="0" priority="123"/>
    <cfRule type="duplicateValues" dxfId="1" priority="124"/>
  </conditionalFormatting>
  <conditionalFormatting sqref="F2">
    <cfRule type="duplicateValues" dxfId="0" priority="121"/>
    <cfRule type="duplicateValues" dxfId="1" priority="122"/>
  </conditionalFormatting>
  <conditionalFormatting sqref="G2">
    <cfRule type="duplicateValues" dxfId="0" priority="119"/>
    <cfRule type="duplicateValues" dxfId="1" priority="120"/>
  </conditionalFormatting>
  <conditionalFormatting sqref="I2">
    <cfRule type="duplicateValues" dxfId="0" priority="117"/>
    <cfRule type="duplicateValues" dxfId="1" priority="118"/>
  </conditionalFormatting>
  <conditionalFormatting sqref="K2">
    <cfRule type="duplicateValues" dxfId="0" priority="111"/>
    <cfRule type="duplicateValues" dxfId="1" priority="112"/>
  </conditionalFormatting>
  <conditionalFormatting sqref="L2">
    <cfRule type="duplicateValues" dxfId="0" priority="109"/>
    <cfRule type="duplicateValues" dxfId="1" priority="110"/>
  </conditionalFormatting>
  <conditionalFormatting sqref="M2">
    <cfRule type="duplicateValues" dxfId="0" priority="105"/>
    <cfRule type="duplicateValues" dxfId="1" priority="106"/>
  </conditionalFormatting>
  <conditionalFormatting sqref="O2">
    <cfRule type="duplicateValues" dxfId="0" priority="127"/>
    <cfRule type="duplicateValues" dxfId="1" priority="128"/>
  </conditionalFormatting>
  <conditionalFormatting sqref="E3">
    <cfRule type="duplicateValues" dxfId="0" priority="93"/>
    <cfRule type="duplicateValues" dxfId="1" priority="94"/>
  </conditionalFormatting>
  <conditionalFormatting sqref="F3">
    <cfRule type="duplicateValues" dxfId="0" priority="91"/>
    <cfRule type="duplicateValues" dxfId="1" priority="92"/>
  </conditionalFormatting>
  <conditionalFormatting sqref="G3">
    <cfRule type="duplicateValues" dxfId="0" priority="89"/>
    <cfRule type="duplicateValues" dxfId="1" priority="90"/>
  </conditionalFormatting>
  <conditionalFormatting sqref="I3">
    <cfRule type="duplicateValues" dxfId="0" priority="87"/>
    <cfRule type="duplicateValues" dxfId="1" priority="88"/>
  </conditionalFormatting>
  <conditionalFormatting sqref="J3">
    <cfRule type="duplicateValues" dxfId="0" priority="85"/>
    <cfRule type="duplicateValues" dxfId="1" priority="86"/>
  </conditionalFormatting>
  <conditionalFormatting sqref="M3">
    <cfRule type="duplicateValues" dxfId="0" priority="75"/>
    <cfRule type="duplicateValues" dxfId="1" priority="76"/>
  </conditionalFormatting>
  <conditionalFormatting sqref="O3">
    <cfRule type="duplicateValues" dxfId="0" priority="95"/>
    <cfRule type="duplicateValues" dxfId="1" priority="96"/>
  </conditionalFormatting>
  <conditionalFormatting sqref="F4">
    <cfRule type="duplicateValues" dxfId="0" priority="65"/>
    <cfRule type="duplicateValues" dxfId="1" priority="66"/>
  </conditionalFormatting>
  <conditionalFormatting sqref="O4">
    <cfRule type="duplicateValues" dxfId="0" priority="61"/>
    <cfRule type="duplicateValues" dxfId="1" priority="62"/>
  </conditionalFormatting>
  <conditionalFormatting sqref="E24">
    <cfRule type="duplicateValues" dxfId="1" priority="50"/>
    <cfRule type="duplicateValues" dxfId="0" priority="49"/>
  </conditionalFormatting>
  <conditionalFormatting sqref="F24">
    <cfRule type="duplicateValues" dxfId="1" priority="48"/>
    <cfRule type="duplicateValues" dxfId="0" priority="47"/>
  </conditionalFormatting>
  <conditionalFormatting sqref="G24">
    <cfRule type="duplicateValues" dxfId="1" priority="46"/>
    <cfRule type="duplicateValues" dxfId="0" priority="45"/>
  </conditionalFormatting>
  <conditionalFormatting sqref="I24">
    <cfRule type="duplicateValues" dxfId="1" priority="44"/>
    <cfRule type="duplicateValues" dxfId="0" priority="43"/>
  </conditionalFormatting>
  <conditionalFormatting sqref="K24">
    <cfRule type="duplicateValues" dxfId="1" priority="42"/>
    <cfRule type="duplicateValues" dxfId="0" priority="41"/>
  </conditionalFormatting>
  <conditionalFormatting sqref="L24">
    <cfRule type="duplicateValues" dxfId="1" priority="40"/>
    <cfRule type="duplicateValues" dxfId="0" priority="39"/>
  </conditionalFormatting>
  <conditionalFormatting sqref="M24">
    <cfRule type="duplicateValues" dxfId="1" priority="38"/>
    <cfRule type="duplicateValues" dxfId="0" priority="37"/>
  </conditionalFormatting>
  <conditionalFormatting sqref="O24">
    <cfRule type="duplicateValues" dxfId="1" priority="52"/>
    <cfRule type="duplicateValues" dxfId="0" priority="51"/>
  </conditionalFormatting>
  <conditionalFormatting sqref="E25">
    <cfRule type="duplicateValues" dxfId="1" priority="34"/>
    <cfRule type="duplicateValues" dxfId="0" priority="33"/>
  </conditionalFormatting>
  <conditionalFormatting sqref="F25">
    <cfRule type="duplicateValues" dxfId="1" priority="32"/>
    <cfRule type="duplicateValues" dxfId="0" priority="31"/>
  </conditionalFormatting>
  <conditionalFormatting sqref="G25">
    <cfRule type="duplicateValues" dxfId="1" priority="30"/>
    <cfRule type="duplicateValues" dxfId="0" priority="29"/>
  </conditionalFormatting>
  <conditionalFormatting sqref="I25">
    <cfRule type="duplicateValues" dxfId="1" priority="28"/>
    <cfRule type="duplicateValues" dxfId="0" priority="27"/>
  </conditionalFormatting>
  <conditionalFormatting sqref="J25">
    <cfRule type="duplicateValues" dxfId="1" priority="26"/>
    <cfRule type="duplicateValues" dxfId="0" priority="25"/>
  </conditionalFormatting>
  <conditionalFormatting sqref="M25">
    <cfRule type="duplicateValues" dxfId="1" priority="20"/>
    <cfRule type="duplicateValues" dxfId="0" priority="19"/>
  </conditionalFormatting>
  <conditionalFormatting sqref="O25">
    <cfRule type="duplicateValues" dxfId="1" priority="36"/>
    <cfRule type="duplicateValues" dxfId="0" priority="35"/>
  </conditionalFormatting>
  <conditionalFormatting sqref="F26">
    <cfRule type="duplicateValues" dxfId="0" priority="15"/>
    <cfRule type="duplicateValues" dxfId="1" priority="16"/>
  </conditionalFormatting>
  <conditionalFormatting sqref="F27">
    <cfRule type="duplicateValues" dxfId="1" priority="10"/>
    <cfRule type="duplicateValues" dxfId="0" priority="9"/>
  </conditionalFormatting>
  <conditionalFormatting sqref="F28">
    <cfRule type="duplicateValues" dxfId="1" priority="6"/>
    <cfRule type="duplicateValues" dxfId="0" priority="5"/>
  </conditionalFormatting>
  <conditionalFormatting sqref="F5:F19">
    <cfRule type="duplicateValues" dxfId="0" priority="63"/>
    <cfRule type="duplicateValues" dxfId="1" priority="64"/>
  </conditionalFormatting>
  <conditionalFormatting sqref="K3:K19">
    <cfRule type="duplicateValues" dxfId="0" priority="81"/>
    <cfRule type="duplicateValues" dxfId="1" priority="82"/>
  </conditionalFormatting>
  <conditionalFormatting sqref="K25:K28">
    <cfRule type="duplicateValues" dxfId="1" priority="4"/>
    <cfRule type="duplicateValues" dxfId="0" priority="3"/>
  </conditionalFormatting>
  <conditionalFormatting sqref="L3:L19">
    <cfRule type="duplicateValues" dxfId="0" priority="79"/>
    <cfRule type="duplicateValues" dxfId="1" priority="80"/>
  </conditionalFormatting>
  <conditionalFormatting sqref="L26:L28">
    <cfRule type="duplicateValues" dxfId="0" priority="21"/>
    <cfRule type="duplicateValues" dxfId="1" priority="22"/>
  </conditionalFormatting>
  <conditionalFormatting sqref="O5:O19">
    <cfRule type="duplicateValues" dxfId="0" priority="59"/>
    <cfRule type="duplicateValues" dxfId="1" priority="60"/>
  </conditionalFormatting>
  <conditionalFormatting sqref="O26:O28">
    <cfRule type="duplicateValues" dxfId="0" priority="11"/>
    <cfRule type="duplicateValues" dxfId="1" priority="12"/>
  </conditionalFormatting>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1"/>
  <sheetViews>
    <sheetView topLeftCell="AR1" workbookViewId="0">
      <selection activeCell="BE10" sqref="BE10"/>
    </sheetView>
  </sheetViews>
  <sheetFormatPr defaultColWidth="9" defaultRowHeight="16.8"/>
  <cols>
    <col min="9" max="9" width="11.125"/>
    <col min="49" max="49" width="11.125"/>
    <col min="57" max="57" width="10.125"/>
    <col min="76" max="76" width="10.125"/>
  </cols>
  <sheetData>
    <row r="1" ht="26" customHeight="1" spans="1:75">
      <c r="A1" s="3"/>
      <c r="B1" s="4" t="s">
        <v>0</v>
      </c>
      <c r="C1" s="4"/>
      <c r="D1" s="4"/>
      <c r="E1" s="14"/>
      <c r="F1" s="4"/>
      <c r="G1" s="15"/>
      <c r="H1" s="15"/>
      <c r="I1" s="4"/>
      <c r="J1" s="4"/>
      <c r="K1" s="4"/>
      <c r="L1" s="25"/>
      <c r="M1" s="4"/>
      <c r="N1" s="25"/>
      <c r="O1" s="4"/>
      <c r="P1" s="4"/>
      <c r="Q1" s="4"/>
      <c r="R1" s="4"/>
      <c r="S1" s="4"/>
      <c r="T1" s="4"/>
      <c r="U1" s="4"/>
      <c r="V1" s="4" t="s">
        <v>1</v>
      </c>
      <c r="W1" s="14"/>
      <c r="X1" s="4"/>
      <c r="Y1" s="25" t="s">
        <v>2</v>
      </c>
      <c r="Z1" s="4"/>
      <c r="AA1" s="4"/>
      <c r="AB1" s="4"/>
      <c r="AC1" s="4"/>
      <c r="AD1" s="4"/>
      <c r="AE1" s="4"/>
      <c r="AF1" s="4" t="s">
        <v>3</v>
      </c>
      <c r="AG1" s="25"/>
      <c r="AH1" s="4"/>
      <c r="AI1" s="4"/>
      <c r="AJ1" s="4"/>
      <c r="AK1" s="4"/>
      <c r="AL1" s="4"/>
      <c r="AM1" s="4"/>
      <c r="AN1" s="4" t="s">
        <v>4</v>
      </c>
      <c r="AO1" s="4"/>
      <c r="AP1" s="4"/>
      <c r="AQ1" s="4"/>
      <c r="AR1" s="4"/>
      <c r="AS1" s="4"/>
      <c r="AT1" s="4"/>
      <c r="AU1" s="4"/>
      <c r="AV1" s="4"/>
      <c r="AW1" s="4"/>
      <c r="AX1" s="4" t="s">
        <v>5</v>
      </c>
      <c r="AY1" s="4"/>
      <c r="AZ1" s="4"/>
      <c r="BA1" s="4"/>
      <c r="BB1" s="4"/>
      <c r="BC1" s="4"/>
      <c r="BD1" s="4"/>
      <c r="BE1" s="4"/>
      <c r="BF1" s="4"/>
      <c r="BG1" s="4"/>
      <c r="BH1" s="4"/>
      <c r="BI1" s="55" t="s">
        <v>6</v>
      </c>
      <c r="BJ1" s="55"/>
      <c r="BK1" s="55"/>
      <c r="BL1" s="55"/>
      <c r="BM1" s="55"/>
      <c r="BN1" s="55"/>
      <c r="BO1" s="55"/>
      <c r="BP1" s="55"/>
      <c r="BQ1" s="55"/>
      <c r="BR1" s="55"/>
      <c r="BS1" s="4" t="s">
        <v>7</v>
      </c>
      <c r="BT1" s="4"/>
      <c r="BU1" s="4"/>
      <c r="BV1" s="4"/>
      <c r="BW1" s="4"/>
    </row>
    <row r="2" customFormat="1" ht="31" customHeight="1" spans="1:76">
      <c r="A2" s="5" t="s">
        <v>8</v>
      </c>
      <c r="B2" s="6" t="s">
        <v>9</v>
      </c>
      <c r="C2" s="6" t="s">
        <v>10</v>
      </c>
      <c r="D2" s="6" t="s">
        <v>11</v>
      </c>
      <c r="E2" s="6" t="s">
        <v>12</v>
      </c>
      <c r="F2" s="6" t="s">
        <v>13</v>
      </c>
      <c r="G2" s="16" t="s">
        <v>14</v>
      </c>
      <c r="H2" s="16" t="s">
        <v>15</v>
      </c>
      <c r="I2" s="6" t="s">
        <v>16</v>
      </c>
      <c r="J2" s="6" t="s">
        <v>17</v>
      </c>
      <c r="K2" s="6" t="s">
        <v>18</v>
      </c>
      <c r="L2" s="26" t="s">
        <v>19</v>
      </c>
      <c r="M2" s="6" t="s">
        <v>20</v>
      </c>
      <c r="N2" s="26" t="s">
        <v>21</v>
      </c>
      <c r="O2" s="6" t="s">
        <v>22</v>
      </c>
      <c r="P2" s="6" t="s">
        <v>23</v>
      </c>
      <c r="Q2" s="6" t="s">
        <v>24</v>
      </c>
      <c r="R2" s="6" t="s">
        <v>25</v>
      </c>
      <c r="S2" s="6" t="s">
        <v>26</v>
      </c>
      <c r="T2" s="6" t="s">
        <v>27</v>
      </c>
      <c r="U2" s="6" t="s">
        <v>28</v>
      </c>
      <c r="V2" s="6" t="s">
        <v>29</v>
      </c>
      <c r="W2" s="6" t="s">
        <v>30</v>
      </c>
      <c r="X2" s="6" t="s">
        <v>31</v>
      </c>
      <c r="Y2" s="36" t="s">
        <v>32</v>
      </c>
      <c r="Z2" s="6" t="s">
        <v>33</v>
      </c>
      <c r="AA2" s="6" t="s">
        <v>34</v>
      </c>
      <c r="AB2" s="6" t="s">
        <v>35</v>
      </c>
      <c r="AC2" s="6" t="s">
        <v>36</v>
      </c>
      <c r="AD2" s="6" t="s">
        <v>37</v>
      </c>
      <c r="AE2" s="6" t="s">
        <v>38</v>
      </c>
      <c r="AF2" s="6" t="s">
        <v>39</v>
      </c>
      <c r="AG2" s="36" t="s">
        <v>40</v>
      </c>
      <c r="AH2" s="6" t="s">
        <v>41</v>
      </c>
      <c r="AI2" s="6" t="s">
        <v>33</v>
      </c>
      <c r="AJ2" s="6" t="s">
        <v>34</v>
      </c>
      <c r="AK2" s="41" t="s">
        <v>42</v>
      </c>
      <c r="AL2" s="42" t="s">
        <v>43</v>
      </c>
      <c r="AM2" s="43" t="s">
        <v>44</v>
      </c>
      <c r="AN2" s="44" t="s">
        <v>45</v>
      </c>
      <c r="AO2" s="6" t="s">
        <v>46</v>
      </c>
      <c r="AP2" s="48" t="s">
        <v>47</v>
      </c>
      <c r="AQ2" s="16" t="s">
        <v>10</v>
      </c>
      <c r="AR2" s="6" t="s">
        <v>11</v>
      </c>
      <c r="AS2" s="41" t="s">
        <v>23</v>
      </c>
      <c r="AT2" s="6" t="s">
        <v>48</v>
      </c>
      <c r="AU2" s="26" t="s">
        <v>49</v>
      </c>
      <c r="AV2" s="41" t="s">
        <v>50</v>
      </c>
      <c r="AW2" s="41" t="s">
        <v>51</v>
      </c>
      <c r="AX2" s="26" t="s">
        <v>52</v>
      </c>
      <c r="AY2" s="26" t="s">
        <v>53</v>
      </c>
      <c r="AZ2" s="6" t="s">
        <v>54</v>
      </c>
      <c r="BA2" s="6" t="s">
        <v>55</v>
      </c>
      <c r="BB2" s="51" t="s">
        <v>56</v>
      </c>
      <c r="BC2" s="6" t="s">
        <v>57</v>
      </c>
      <c r="BD2" s="51" t="s">
        <v>58</v>
      </c>
      <c r="BE2" s="51" t="s">
        <v>59</v>
      </c>
      <c r="BF2" s="48" t="s">
        <v>60</v>
      </c>
      <c r="BG2" s="6" t="s">
        <v>61</v>
      </c>
      <c r="BH2" s="6" t="s">
        <v>62</v>
      </c>
      <c r="BI2" s="26" t="s">
        <v>63</v>
      </c>
      <c r="BJ2" s="26" t="s">
        <v>64</v>
      </c>
      <c r="BK2" s="16" t="s">
        <v>65</v>
      </c>
      <c r="BL2" s="6" t="s">
        <v>66</v>
      </c>
      <c r="BM2" s="6" t="s">
        <v>67</v>
      </c>
      <c r="BN2" s="6" t="s">
        <v>68</v>
      </c>
      <c r="BO2" s="26" t="s">
        <v>69</v>
      </c>
      <c r="BP2" s="6" t="s">
        <v>70</v>
      </c>
      <c r="BQ2" s="26" t="s">
        <v>71</v>
      </c>
      <c r="BR2" s="26" t="s">
        <v>72</v>
      </c>
      <c r="BS2" s="5" t="s">
        <v>73</v>
      </c>
      <c r="BT2" s="5" t="s">
        <v>74</v>
      </c>
      <c r="BU2" s="16" t="s">
        <v>75</v>
      </c>
      <c r="BV2" s="16" t="s">
        <v>76</v>
      </c>
      <c r="BW2" s="16" t="s">
        <v>77</v>
      </c>
      <c r="BX2" s="62" t="s">
        <v>2305</v>
      </c>
    </row>
    <row r="3" s="1" customFormat="1" ht="31" customHeight="1" spans="1:76">
      <c r="A3" s="7">
        <v>1</v>
      </c>
      <c r="B3" s="7" t="s">
        <v>2306</v>
      </c>
      <c r="C3" s="8" t="s">
        <v>2307</v>
      </c>
      <c r="D3" s="8" t="str">
        <f>IF(MOD(MID(J3,17,1),2)=1,"男","女")</f>
        <v>男</v>
      </c>
      <c r="E3" s="9" t="s">
        <v>81</v>
      </c>
      <c r="F3" s="9" t="s">
        <v>82</v>
      </c>
      <c r="G3" s="17" t="s">
        <v>121</v>
      </c>
      <c r="H3" s="18">
        <v>45293</v>
      </c>
      <c r="I3" s="8">
        <v>15908669261</v>
      </c>
      <c r="J3" s="27" t="s">
        <v>2308</v>
      </c>
      <c r="K3" s="28" t="s">
        <v>85</v>
      </c>
      <c r="L3" s="28" t="s">
        <v>2309</v>
      </c>
      <c r="M3" s="7" t="s">
        <v>149</v>
      </c>
      <c r="N3" s="28" t="s">
        <v>2309</v>
      </c>
      <c r="O3" s="32" t="str">
        <f>TEXT(MID(J3,7,8),"0-00-00")</f>
        <v>1973-01-18</v>
      </c>
      <c r="P3" s="33">
        <f ca="1">(TODAY()-O3)/365</f>
        <v>53.4438356164384</v>
      </c>
      <c r="Q3" s="9">
        <f ca="1">IF(K3="","",DATEDIF(H3,TODAY(),"Y"))</f>
        <v>2</v>
      </c>
      <c r="R3" s="28" t="s">
        <v>88</v>
      </c>
      <c r="S3" s="7"/>
      <c r="T3" s="28" t="s">
        <v>90</v>
      </c>
      <c r="U3" s="7" t="s">
        <v>91</v>
      </c>
      <c r="V3" s="9" t="s">
        <v>92</v>
      </c>
      <c r="W3" s="9"/>
      <c r="X3" s="9"/>
      <c r="Y3" s="37"/>
      <c r="Z3" s="9"/>
      <c r="AA3" s="9"/>
      <c r="AB3" s="9"/>
      <c r="AC3" s="9"/>
      <c r="AD3" s="9"/>
      <c r="AE3" s="9"/>
      <c r="AF3" s="28" t="s">
        <v>96</v>
      </c>
      <c r="AG3" s="40"/>
      <c r="AH3" s="28"/>
      <c r="AI3" s="9"/>
      <c r="AJ3" s="9"/>
      <c r="AK3" s="7"/>
      <c r="AL3" s="7"/>
      <c r="AM3" s="45"/>
      <c r="AN3" s="46"/>
      <c r="AO3" s="28"/>
      <c r="AP3" s="49" t="s">
        <v>123</v>
      </c>
      <c r="AQ3" s="49" t="s">
        <v>2310</v>
      </c>
      <c r="AR3" s="9" t="s">
        <v>102</v>
      </c>
      <c r="AS3" s="7">
        <v>20</v>
      </c>
      <c r="AT3" s="9" t="s">
        <v>125</v>
      </c>
      <c r="AU3" s="7" t="s">
        <v>2311</v>
      </c>
      <c r="AV3" s="7" t="s">
        <v>104</v>
      </c>
      <c r="AW3" s="28">
        <v>15007266521</v>
      </c>
      <c r="AX3" s="7" t="s">
        <v>2312</v>
      </c>
      <c r="AY3" s="7">
        <v>0</v>
      </c>
      <c r="AZ3" s="50">
        <v>45293</v>
      </c>
      <c r="BA3" s="24">
        <v>45383</v>
      </c>
      <c r="BB3" s="7" t="s">
        <v>128</v>
      </c>
      <c r="BC3" s="52" t="s">
        <v>480</v>
      </c>
      <c r="BD3" s="9"/>
      <c r="BE3" s="24">
        <v>45382</v>
      </c>
      <c r="BF3" s="49" t="s">
        <v>2313</v>
      </c>
      <c r="BG3" s="53"/>
      <c r="BH3" s="7"/>
      <c r="BI3" s="49"/>
      <c r="BJ3" s="49"/>
      <c r="BK3" s="47"/>
      <c r="BL3" s="281" t="s">
        <v>2314</v>
      </c>
      <c r="BM3" s="7"/>
      <c r="BN3" s="49"/>
      <c r="BO3" s="7"/>
      <c r="BP3" s="58"/>
      <c r="BQ3" s="49"/>
      <c r="BR3" s="7"/>
      <c r="BS3" s="7" t="s">
        <v>111</v>
      </c>
      <c r="BT3" s="7"/>
      <c r="BU3" s="63">
        <v>2025.1</v>
      </c>
      <c r="BV3" s="47"/>
      <c r="BW3" s="47"/>
      <c r="BX3" s="64">
        <v>45382</v>
      </c>
    </row>
    <row r="4" s="2" customFormat="1" ht="57" customHeight="1" spans="1:76">
      <c r="A4" s="7">
        <v>2</v>
      </c>
      <c r="B4" s="7" t="s">
        <v>2315</v>
      </c>
      <c r="C4" s="8" t="s">
        <v>2316</v>
      </c>
      <c r="D4" s="8" t="str">
        <f>IF(MOD(MID(J4,17,1),2)=1,"男","女")</f>
        <v>男</v>
      </c>
      <c r="E4" s="9" t="s">
        <v>81</v>
      </c>
      <c r="F4" s="9" t="s">
        <v>82</v>
      </c>
      <c r="G4" s="19" t="s">
        <v>2317</v>
      </c>
      <c r="H4" s="18">
        <v>44135</v>
      </c>
      <c r="I4" s="8">
        <v>15872981372</v>
      </c>
      <c r="J4" s="27" t="s">
        <v>2318</v>
      </c>
      <c r="K4" s="28" t="s">
        <v>1519</v>
      </c>
      <c r="L4" s="28" t="s">
        <v>2319</v>
      </c>
      <c r="M4" s="7" t="s">
        <v>149</v>
      </c>
      <c r="N4" s="28" t="s">
        <v>1581</v>
      </c>
      <c r="O4" s="32" t="str">
        <f>TEXT(MID(J4,7,8),"0-00-00")</f>
        <v>1993-03-06</v>
      </c>
      <c r="P4" s="33">
        <f ca="1">(TODAY()-O4)/365</f>
        <v>33.3013698630137</v>
      </c>
      <c r="Q4" s="9">
        <f ca="1">IF(K4="","",DATEDIF(H4,TODAY(),"Y"))</f>
        <v>5</v>
      </c>
      <c r="R4" s="28" t="s">
        <v>88</v>
      </c>
      <c r="S4" s="7" t="s">
        <v>89</v>
      </c>
      <c r="T4" s="28" t="s">
        <v>90</v>
      </c>
      <c r="U4" s="7" t="s">
        <v>91</v>
      </c>
      <c r="V4" s="9" t="s">
        <v>92</v>
      </c>
      <c r="W4" s="9"/>
      <c r="X4" s="9"/>
      <c r="Y4" s="37" t="s">
        <v>934</v>
      </c>
      <c r="Z4" s="9">
        <v>2017.5</v>
      </c>
      <c r="AA4" s="9">
        <v>2020.5</v>
      </c>
      <c r="AB4" s="9" t="s">
        <v>2027</v>
      </c>
      <c r="AC4" s="9"/>
      <c r="AD4" s="9"/>
      <c r="AE4" s="9"/>
      <c r="AF4" s="28" t="s">
        <v>208</v>
      </c>
      <c r="AG4" s="40" t="s">
        <v>2320</v>
      </c>
      <c r="AH4" s="28" t="s">
        <v>2321</v>
      </c>
      <c r="AI4" s="9">
        <v>2008.9</v>
      </c>
      <c r="AJ4" s="9">
        <v>2009.3</v>
      </c>
      <c r="AK4" s="7"/>
      <c r="AL4" s="7"/>
      <c r="AM4" s="47"/>
      <c r="AN4" s="46" t="s">
        <v>194</v>
      </c>
      <c r="AO4" s="28" t="s">
        <v>1581</v>
      </c>
      <c r="AP4" s="49" t="s">
        <v>815</v>
      </c>
      <c r="AQ4" s="47" t="s">
        <v>2322</v>
      </c>
      <c r="AR4" s="9" t="s">
        <v>214</v>
      </c>
      <c r="AS4" s="7">
        <v>54</v>
      </c>
      <c r="AT4" s="9" t="s">
        <v>159</v>
      </c>
      <c r="AU4" s="7" t="s">
        <v>2323</v>
      </c>
      <c r="AV4" s="7" t="s">
        <v>393</v>
      </c>
      <c r="AW4" s="28">
        <v>13297139392</v>
      </c>
      <c r="AX4" s="7" t="s">
        <v>1525</v>
      </c>
      <c r="AY4" s="7">
        <v>1</v>
      </c>
      <c r="AZ4" s="50">
        <v>45200</v>
      </c>
      <c r="BA4" s="24">
        <v>45565</v>
      </c>
      <c r="BB4" s="7" t="s">
        <v>106</v>
      </c>
      <c r="BC4" s="52"/>
      <c r="BD4" s="9"/>
      <c r="BE4" s="24">
        <v>45535</v>
      </c>
      <c r="BF4" s="49" t="s">
        <v>1307</v>
      </c>
      <c r="BG4" s="9"/>
      <c r="BH4" s="7" t="s">
        <v>2324</v>
      </c>
      <c r="BI4" s="49"/>
      <c r="BJ4" s="49"/>
      <c r="BK4" s="47"/>
      <c r="BL4" s="281" t="s">
        <v>2325</v>
      </c>
      <c r="BM4" s="7" t="s">
        <v>109</v>
      </c>
      <c r="BN4" s="49" t="s">
        <v>110</v>
      </c>
      <c r="BO4" s="7">
        <v>2021.2</v>
      </c>
      <c r="BP4" s="58"/>
      <c r="BQ4" s="49"/>
      <c r="BR4" s="7">
        <v>2021.2</v>
      </c>
      <c r="BS4" s="7" t="s">
        <v>111</v>
      </c>
      <c r="BT4" s="7"/>
      <c r="BU4" s="65">
        <v>2024.1</v>
      </c>
      <c r="BV4" s="47"/>
      <c r="BW4" s="47"/>
      <c r="BX4" s="21">
        <v>45535</v>
      </c>
    </row>
    <row r="5" s="2" customFormat="1" ht="51" customHeight="1" spans="1:76">
      <c r="A5" s="7">
        <v>3</v>
      </c>
      <c r="B5" s="9" t="s">
        <v>2326</v>
      </c>
      <c r="C5" s="7" t="s">
        <v>2327</v>
      </c>
      <c r="D5" s="8" t="str">
        <f>IF(MOD(MID(J5,17,1),2)=1,"男","女")</f>
        <v>男</v>
      </c>
      <c r="E5" s="9" t="s">
        <v>81</v>
      </c>
      <c r="F5" s="9" t="s">
        <v>82</v>
      </c>
      <c r="G5" s="20" t="s">
        <v>1173</v>
      </c>
      <c r="H5" s="21">
        <v>44986</v>
      </c>
      <c r="I5" s="7">
        <v>13590501957</v>
      </c>
      <c r="J5" s="293" t="s">
        <v>2328</v>
      </c>
      <c r="K5" s="29" t="s">
        <v>2329</v>
      </c>
      <c r="L5" s="30" t="s">
        <v>2330</v>
      </c>
      <c r="M5" s="7" t="s">
        <v>149</v>
      </c>
      <c r="N5" s="30" t="s">
        <v>144</v>
      </c>
      <c r="O5" s="32" t="str">
        <f>TEXT(MID(J5,7,8),"0-00-00")</f>
        <v>1988-02-04</v>
      </c>
      <c r="P5" s="33">
        <f ca="1">(TODAY()-O5)/365</f>
        <v>38.3890410958904</v>
      </c>
      <c r="Q5" s="9">
        <f ca="1">IF(K5="","",DATEDIF(H5,TODAY(),"Y"))</f>
        <v>3</v>
      </c>
      <c r="R5" s="28" t="s">
        <v>88</v>
      </c>
      <c r="S5" s="7" t="s">
        <v>89</v>
      </c>
      <c r="T5" s="28" t="s">
        <v>90</v>
      </c>
      <c r="U5" s="7" t="s">
        <v>91</v>
      </c>
      <c r="V5" s="9" t="s">
        <v>92</v>
      </c>
      <c r="W5" s="9"/>
      <c r="X5" s="9"/>
      <c r="Y5" s="37" t="s">
        <v>2331</v>
      </c>
      <c r="Z5" s="9">
        <v>2022.3</v>
      </c>
      <c r="AA5" s="9">
        <v>2023.2</v>
      </c>
      <c r="AB5" s="9" t="s">
        <v>2332</v>
      </c>
      <c r="AC5" s="9"/>
      <c r="AD5" s="9"/>
      <c r="AE5" s="9"/>
      <c r="AF5" s="39" t="s">
        <v>406</v>
      </c>
      <c r="AG5" s="37" t="s">
        <v>2333</v>
      </c>
      <c r="AH5" s="39" t="s">
        <v>1288</v>
      </c>
      <c r="AI5" s="9">
        <v>2006.9</v>
      </c>
      <c r="AJ5" s="9">
        <v>2010.7</v>
      </c>
      <c r="AK5" s="7"/>
      <c r="AL5" s="37" t="s">
        <v>2334</v>
      </c>
      <c r="AM5" s="47"/>
      <c r="AN5" s="9"/>
      <c r="AO5" s="30" t="s">
        <v>2330</v>
      </c>
      <c r="AP5" s="49" t="s">
        <v>212</v>
      </c>
      <c r="AQ5" s="47" t="s">
        <v>2335</v>
      </c>
      <c r="AR5" s="9" t="s">
        <v>214</v>
      </c>
      <c r="AS5" s="7">
        <v>33</v>
      </c>
      <c r="AT5" s="9" t="s">
        <v>2336</v>
      </c>
      <c r="AU5" s="49" t="s">
        <v>2335</v>
      </c>
      <c r="AV5" s="7" t="s">
        <v>104</v>
      </c>
      <c r="AW5" s="7">
        <v>18825041295</v>
      </c>
      <c r="AX5" s="49"/>
      <c r="AY5" s="49"/>
      <c r="AZ5" s="24">
        <v>44986</v>
      </c>
      <c r="BA5" s="9"/>
      <c r="BB5" s="7" t="s">
        <v>106</v>
      </c>
      <c r="BC5" s="9"/>
      <c r="BD5" s="9"/>
      <c r="BE5" s="24">
        <v>45626</v>
      </c>
      <c r="BF5" s="49" t="s">
        <v>2337</v>
      </c>
      <c r="BG5" s="9"/>
      <c r="BH5" s="9" t="s">
        <v>2338</v>
      </c>
      <c r="BI5" s="49"/>
      <c r="BJ5" s="49"/>
      <c r="BK5" s="47"/>
      <c r="BL5" s="294" t="s">
        <v>2339</v>
      </c>
      <c r="BM5" s="7" t="s">
        <v>109</v>
      </c>
      <c r="BN5" s="49" t="s">
        <v>110</v>
      </c>
      <c r="BO5" s="59">
        <v>2023.1</v>
      </c>
      <c r="BP5" s="9"/>
      <c r="BQ5" s="49"/>
      <c r="BR5" s="59">
        <v>2023.1</v>
      </c>
      <c r="BS5" s="7"/>
      <c r="BT5" s="7"/>
      <c r="BU5" s="65">
        <v>2024.1</v>
      </c>
      <c r="BV5" s="47"/>
      <c r="BW5" s="47"/>
      <c r="BX5" s="21">
        <v>45626</v>
      </c>
    </row>
    <row r="6" ht="23" customHeight="1" spans="1:6">
      <c r="A6" s="10" t="s">
        <v>2340</v>
      </c>
      <c r="B6" s="10"/>
      <c r="C6" s="10"/>
      <c r="D6" s="10"/>
      <c r="E6" s="10"/>
      <c r="F6" s="10"/>
    </row>
    <row r="9" ht="26" spans="1:76">
      <c r="A9" s="11"/>
      <c r="B9" s="12" t="s">
        <v>0</v>
      </c>
      <c r="C9" s="13"/>
      <c r="D9" s="13"/>
      <c r="E9" s="22"/>
      <c r="F9" s="13"/>
      <c r="G9" s="23"/>
      <c r="H9" s="23"/>
      <c r="I9" s="13"/>
      <c r="J9" s="13"/>
      <c r="K9" s="13"/>
      <c r="L9" s="31"/>
      <c r="M9" s="13"/>
      <c r="N9" s="31"/>
      <c r="O9" s="13"/>
      <c r="P9" s="13"/>
      <c r="Q9" s="13"/>
      <c r="R9" s="13"/>
      <c r="S9" s="13"/>
      <c r="T9" s="13"/>
      <c r="U9" s="35"/>
      <c r="V9" s="12" t="s">
        <v>1</v>
      </c>
      <c r="W9" s="22"/>
      <c r="X9" s="35"/>
      <c r="Y9" s="38" t="s">
        <v>2</v>
      </c>
      <c r="Z9" s="13"/>
      <c r="AA9" s="13"/>
      <c r="AB9" s="13"/>
      <c r="AC9" s="13"/>
      <c r="AD9" s="13"/>
      <c r="AE9" s="13"/>
      <c r="AF9" s="12" t="s">
        <v>3</v>
      </c>
      <c r="AG9" s="31"/>
      <c r="AH9" s="13"/>
      <c r="AI9" s="13"/>
      <c r="AJ9" s="13"/>
      <c r="AK9" s="13"/>
      <c r="AL9" s="13"/>
      <c r="AM9" s="35"/>
      <c r="AN9" s="12" t="s">
        <v>4</v>
      </c>
      <c r="AO9" s="13"/>
      <c r="AP9" s="13"/>
      <c r="AQ9" s="13"/>
      <c r="AR9" s="13"/>
      <c r="AS9" s="13"/>
      <c r="AT9" s="13"/>
      <c r="AU9" s="13"/>
      <c r="AV9" s="13"/>
      <c r="AW9" s="13"/>
      <c r="AX9" s="12" t="s">
        <v>5</v>
      </c>
      <c r="AY9" s="13"/>
      <c r="AZ9" s="13"/>
      <c r="BA9" s="13"/>
      <c r="BB9" s="13"/>
      <c r="BC9" s="13"/>
      <c r="BD9" s="13"/>
      <c r="BE9" s="13"/>
      <c r="BF9" s="13"/>
      <c r="BG9" s="13"/>
      <c r="BH9" s="35"/>
      <c r="BI9" s="56" t="s">
        <v>6</v>
      </c>
      <c r="BJ9" s="57"/>
      <c r="BK9" s="57"/>
      <c r="BL9" s="57"/>
      <c r="BM9" s="57"/>
      <c r="BN9" s="57"/>
      <c r="BO9" s="57"/>
      <c r="BP9" s="57"/>
      <c r="BQ9" s="57"/>
      <c r="BR9" s="60"/>
      <c r="BS9" s="61" t="s">
        <v>7</v>
      </c>
      <c r="BT9" s="61"/>
      <c r="BU9" s="61"/>
      <c r="BV9" s="61"/>
      <c r="BW9" s="61"/>
      <c r="BX9" s="11"/>
    </row>
    <row r="10" ht="53" spans="1:76">
      <c r="A10" s="5" t="s">
        <v>8</v>
      </c>
      <c r="B10" s="6" t="s">
        <v>9</v>
      </c>
      <c r="C10" s="6" t="s">
        <v>10</v>
      </c>
      <c r="D10" s="6" t="s">
        <v>11</v>
      </c>
      <c r="E10" s="6" t="s">
        <v>12</v>
      </c>
      <c r="F10" s="6" t="s">
        <v>13</v>
      </c>
      <c r="G10" s="16" t="s">
        <v>14</v>
      </c>
      <c r="H10" s="16" t="s">
        <v>15</v>
      </c>
      <c r="I10" s="6" t="s">
        <v>16</v>
      </c>
      <c r="J10" s="6" t="s">
        <v>17</v>
      </c>
      <c r="K10" s="6" t="s">
        <v>18</v>
      </c>
      <c r="L10" s="26" t="s">
        <v>19</v>
      </c>
      <c r="M10" s="6" t="s">
        <v>20</v>
      </c>
      <c r="N10" s="26" t="s">
        <v>21</v>
      </c>
      <c r="O10" s="6" t="s">
        <v>22</v>
      </c>
      <c r="P10" s="6" t="s">
        <v>23</v>
      </c>
      <c r="Q10" s="6" t="s">
        <v>24</v>
      </c>
      <c r="R10" s="6" t="s">
        <v>25</v>
      </c>
      <c r="S10" s="6" t="s">
        <v>26</v>
      </c>
      <c r="T10" s="6" t="s">
        <v>27</v>
      </c>
      <c r="U10" s="6" t="s">
        <v>28</v>
      </c>
      <c r="V10" s="6" t="s">
        <v>29</v>
      </c>
      <c r="W10" s="6" t="s">
        <v>30</v>
      </c>
      <c r="X10" s="6" t="s">
        <v>31</v>
      </c>
      <c r="Y10" s="36" t="s">
        <v>32</v>
      </c>
      <c r="Z10" s="6" t="s">
        <v>33</v>
      </c>
      <c r="AA10" s="6" t="s">
        <v>34</v>
      </c>
      <c r="AB10" s="6" t="s">
        <v>35</v>
      </c>
      <c r="AC10" s="6" t="s">
        <v>36</v>
      </c>
      <c r="AD10" s="6" t="s">
        <v>37</v>
      </c>
      <c r="AE10" s="6" t="s">
        <v>38</v>
      </c>
      <c r="AF10" s="6" t="s">
        <v>39</v>
      </c>
      <c r="AG10" s="36" t="s">
        <v>40</v>
      </c>
      <c r="AH10" s="6" t="s">
        <v>41</v>
      </c>
      <c r="AI10" s="6" t="s">
        <v>33</v>
      </c>
      <c r="AJ10" s="6" t="s">
        <v>34</v>
      </c>
      <c r="AK10" s="41" t="s">
        <v>42</v>
      </c>
      <c r="AL10" s="36" t="s">
        <v>43</v>
      </c>
      <c r="AM10" s="16" t="s">
        <v>44</v>
      </c>
      <c r="AN10" s="6" t="s">
        <v>45</v>
      </c>
      <c r="AO10" s="6" t="s">
        <v>46</v>
      </c>
      <c r="AP10" s="26" t="s">
        <v>47</v>
      </c>
      <c r="AQ10" s="16" t="s">
        <v>10</v>
      </c>
      <c r="AR10" s="6" t="s">
        <v>11</v>
      </c>
      <c r="AS10" s="41" t="s">
        <v>23</v>
      </c>
      <c r="AT10" s="6" t="s">
        <v>48</v>
      </c>
      <c r="AU10" s="26" t="s">
        <v>49</v>
      </c>
      <c r="AV10" s="41" t="s">
        <v>50</v>
      </c>
      <c r="AW10" s="41" t="s">
        <v>51</v>
      </c>
      <c r="AX10" s="26" t="s">
        <v>52</v>
      </c>
      <c r="AY10" s="26" t="s">
        <v>53</v>
      </c>
      <c r="AZ10" s="6" t="s">
        <v>54</v>
      </c>
      <c r="BA10" s="6" t="s">
        <v>55</v>
      </c>
      <c r="BB10" s="6" t="s">
        <v>56</v>
      </c>
      <c r="BC10" s="6" t="s">
        <v>57</v>
      </c>
      <c r="BD10" s="6" t="s">
        <v>58</v>
      </c>
      <c r="BE10" s="54" t="s">
        <v>59</v>
      </c>
      <c r="BF10" s="26" t="s">
        <v>60</v>
      </c>
      <c r="BG10" s="6" t="s">
        <v>61</v>
      </c>
      <c r="BH10" s="6" t="s">
        <v>62</v>
      </c>
      <c r="BI10" s="26" t="s">
        <v>63</v>
      </c>
      <c r="BJ10" s="26" t="s">
        <v>64</v>
      </c>
      <c r="BK10" s="16" t="s">
        <v>65</v>
      </c>
      <c r="BL10" s="6" t="s">
        <v>66</v>
      </c>
      <c r="BM10" s="6" t="s">
        <v>67</v>
      </c>
      <c r="BN10" s="6" t="s">
        <v>68</v>
      </c>
      <c r="BO10" s="26" t="s">
        <v>69</v>
      </c>
      <c r="BP10" s="6" t="s">
        <v>70</v>
      </c>
      <c r="BQ10" s="26" t="s">
        <v>71</v>
      </c>
      <c r="BR10" s="26" t="s">
        <v>72</v>
      </c>
      <c r="BS10" s="5" t="s">
        <v>73</v>
      </c>
      <c r="BT10" s="5" t="s">
        <v>74</v>
      </c>
      <c r="BU10" s="16" t="s">
        <v>75</v>
      </c>
      <c r="BV10" s="16" t="s">
        <v>76</v>
      </c>
      <c r="BW10" s="16" t="s">
        <v>77</v>
      </c>
      <c r="BX10" s="11" t="s">
        <v>78</v>
      </c>
    </row>
    <row r="11" ht="57" customHeight="1" spans="1:76">
      <c r="A11" s="7">
        <v>1</v>
      </c>
      <c r="B11" s="7" t="s">
        <v>2341</v>
      </c>
      <c r="C11" s="9" t="s">
        <v>2342</v>
      </c>
      <c r="D11" s="8" t="str">
        <f>IF(MOD(MID(J11,17,1),2)=1,"男","女")</f>
        <v>女</v>
      </c>
      <c r="E11" s="9" t="s">
        <v>81</v>
      </c>
      <c r="F11" s="9" t="s">
        <v>82</v>
      </c>
      <c r="G11" s="20" t="s">
        <v>2343</v>
      </c>
      <c r="H11" s="24">
        <v>45054</v>
      </c>
      <c r="I11" s="9">
        <v>15271756670</v>
      </c>
      <c r="J11" s="8" t="s">
        <v>2344</v>
      </c>
      <c r="K11" s="28" t="s">
        <v>892</v>
      </c>
      <c r="L11" s="17" t="s">
        <v>2345</v>
      </c>
      <c r="M11" s="7" t="s">
        <v>87</v>
      </c>
      <c r="N11" s="17" t="s">
        <v>2346</v>
      </c>
      <c r="O11" s="32" t="str">
        <f>TEXT(MID(J11,7,8),"0-00-00")</f>
        <v>1994-06-28</v>
      </c>
      <c r="P11" s="34">
        <f ca="1">YEAR(TODAY())-MID(J11,7,4)</f>
        <v>32</v>
      </c>
      <c r="Q11" s="9">
        <f ca="1">IF(K11="","",DATEDIF(H11,TODAY(),"Y"))</f>
        <v>3</v>
      </c>
      <c r="R11" s="28" t="s">
        <v>88</v>
      </c>
      <c r="S11" s="7" t="s">
        <v>89</v>
      </c>
      <c r="T11" s="28" t="s">
        <v>90</v>
      </c>
      <c r="U11" s="7" t="s">
        <v>91</v>
      </c>
      <c r="V11" s="9" t="s">
        <v>92</v>
      </c>
      <c r="W11" s="9"/>
      <c r="X11" s="9"/>
      <c r="Y11" s="37" t="s">
        <v>2347</v>
      </c>
      <c r="Z11" s="9">
        <v>2021.8</v>
      </c>
      <c r="AA11" s="9">
        <v>2022.1</v>
      </c>
      <c r="AB11" s="9" t="s">
        <v>2348</v>
      </c>
      <c r="AC11" s="9"/>
      <c r="AD11" s="9"/>
      <c r="AE11" s="9"/>
      <c r="AF11" s="9" t="s">
        <v>154</v>
      </c>
      <c r="AG11" s="37" t="s">
        <v>2349</v>
      </c>
      <c r="AH11" s="9" t="s">
        <v>2350</v>
      </c>
      <c r="AI11" s="9">
        <v>2010.3</v>
      </c>
      <c r="AJ11" s="9">
        <v>2012.7</v>
      </c>
      <c r="AK11" s="7"/>
      <c r="AL11" s="37"/>
      <c r="AM11" s="47"/>
      <c r="AN11" s="9"/>
      <c r="AO11" s="17" t="s">
        <v>2345</v>
      </c>
      <c r="AP11" s="49" t="s">
        <v>815</v>
      </c>
      <c r="AQ11" s="47" t="s">
        <v>2351</v>
      </c>
      <c r="AR11" s="9" t="s">
        <v>214</v>
      </c>
      <c r="AS11" s="7">
        <v>53</v>
      </c>
      <c r="AT11" s="9" t="s">
        <v>159</v>
      </c>
      <c r="AU11" s="49" t="s">
        <v>2352</v>
      </c>
      <c r="AV11" s="7" t="s">
        <v>104</v>
      </c>
      <c r="AW11" s="7">
        <v>18727600464</v>
      </c>
      <c r="AX11" s="49" t="s">
        <v>2353</v>
      </c>
      <c r="AY11" s="49">
        <v>1</v>
      </c>
      <c r="AZ11" s="24">
        <v>45146</v>
      </c>
      <c r="BA11" s="24">
        <v>45511</v>
      </c>
      <c r="BB11" s="7" t="s">
        <v>106</v>
      </c>
      <c r="BC11" s="9"/>
      <c r="BD11" s="9" t="s">
        <v>2354</v>
      </c>
      <c r="BE11" s="24">
        <v>45800</v>
      </c>
      <c r="BF11" s="49" t="s">
        <v>2355</v>
      </c>
      <c r="BG11" s="9"/>
      <c r="BH11" s="49" t="s">
        <v>2356</v>
      </c>
      <c r="BI11" s="49"/>
      <c r="BJ11" s="49"/>
      <c r="BK11" s="47"/>
      <c r="BL11" s="281" t="s">
        <v>2357</v>
      </c>
      <c r="BM11" s="7" t="s">
        <v>109</v>
      </c>
      <c r="BN11" s="49" t="s">
        <v>110</v>
      </c>
      <c r="BO11" s="59">
        <v>2023.1</v>
      </c>
      <c r="BP11" s="9"/>
      <c r="BQ11" s="49"/>
      <c r="BR11" s="59">
        <v>2023.1</v>
      </c>
      <c r="BS11" s="7"/>
      <c r="BT11" s="7"/>
      <c r="BU11" s="66">
        <v>2024.5</v>
      </c>
      <c r="BV11" s="47"/>
      <c r="BW11" s="47"/>
      <c r="BX11" s="21">
        <v>45146</v>
      </c>
    </row>
  </sheetData>
  <mergeCells count="17">
    <mergeCell ref="B1:U1"/>
    <mergeCell ref="V1:X1"/>
    <mergeCell ref="Y1:AE1"/>
    <mergeCell ref="AF1:AM1"/>
    <mergeCell ref="AN1:AW1"/>
    <mergeCell ref="AX1:BH1"/>
    <mergeCell ref="BI1:BR1"/>
    <mergeCell ref="BS1:BW1"/>
    <mergeCell ref="A6:F6"/>
    <mergeCell ref="B9:U9"/>
    <mergeCell ref="V9:X9"/>
    <mergeCell ref="Y9:AE9"/>
    <mergeCell ref="AF9:AM9"/>
    <mergeCell ref="AN9:AW9"/>
    <mergeCell ref="AX9:BH9"/>
    <mergeCell ref="BI9:BR9"/>
    <mergeCell ref="BS9:BW9"/>
  </mergeCells>
  <conditionalFormatting sqref="G2">
    <cfRule type="duplicateValues" dxfId="0" priority="119"/>
    <cfRule type="duplicateValues" dxfId="1" priority="120"/>
  </conditionalFormatting>
  <conditionalFormatting sqref="H2">
    <cfRule type="duplicateValues" dxfId="0" priority="117"/>
    <cfRule type="duplicateValues" dxfId="1" priority="118"/>
  </conditionalFormatting>
  <conditionalFormatting sqref="I2">
    <cfRule type="duplicateValues" dxfId="0" priority="115"/>
    <cfRule type="duplicateValues" dxfId="1" priority="116"/>
  </conditionalFormatting>
  <conditionalFormatting sqref="K2">
    <cfRule type="duplicateValues" dxfId="0" priority="113"/>
    <cfRule type="duplicateValues" dxfId="1" priority="114"/>
  </conditionalFormatting>
  <conditionalFormatting sqref="M2">
    <cfRule type="duplicateValues" dxfId="0" priority="111"/>
    <cfRule type="duplicateValues" dxfId="1" priority="112"/>
  </conditionalFormatting>
  <conditionalFormatting sqref="N2">
    <cfRule type="duplicateValues" dxfId="0" priority="109"/>
    <cfRule type="duplicateValues" dxfId="1" priority="110"/>
  </conditionalFormatting>
  <conditionalFormatting sqref="O2">
    <cfRule type="duplicateValues" dxfId="0" priority="107"/>
    <cfRule type="duplicateValues" dxfId="1" priority="108"/>
  </conditionalFormatting>
  <conditionalFormatting sqref="P2">
    <cfRule type="duplicateValues" dxfId="0" priority="105"/>
    <cfRule type="duplicateValues" dxfId="1" priority="106"/>
  </conditionalFormatting>
  <conditionalFormatting sqref="Q2">
    <cfRule type="duplicateValues" dxfId="0" priority="103"/>
    <cfRule type="duplicateValues" dxfId="1" priority="104"/>
  </conditionalFormatting>
  <conditionalFormatting sqref="R2">
    <cfRule type="duplicateValues" dxfId="0" priority="101"/>
    <cfRule type="duplicateValues" dxfId="1" priority="102"/>
  </conditionalFormatting>
  <conditionalFormatting sqref="S2">
    <cfRule type="duplicateValues" dxfId="0" priority="99"/>
    <cfRule type="duplicateValues" dxfId="1" priority="100"/>
  </conditionalFormatting>
  <conditionalFormatting sqref="W2">
    <cfRule type="duplicateValues" dxfId="0" priority="97"/>
    <cfRule type="duplicateValues" dxfId="1" priority="98"/>
  </conditionalFormatting>
  <conditionalFormatting sqref="X2">
    <cfRule type="duplicateValues" dxfId="0" priority="95"/>
    <cfRule type="duplicateValues" dxfId="1" priority="96"/>
  </conditionalFormatting>
  <conditionalFormatting sqref="AN2">
    <cfRule type="duplicateValues" dxfId="0" priority="123"/>
    <cfRule type="duplicateValues" dxfId="1" priority="124"/>
  </conditionalFormatting>
  <conditionalFormatting sqref="AO2">
    <cfRule type="duplicateValues" dxfId="0" priority="121"/>
    <cfRule type="duplicateValues" dxfId="1" priority="122"/>
  </conditionalFormatting>
  <conditionalFormatting sqref="G3">
    <cfRule type="duplicateValues" dxfId="0" priority="151"/>
    <cfRule type="duplicateValues" dxfId="1" priority="152"/>
  </conditionalFormatting>
  <conditionalFormatting sqref="H3">
    <cfRule type="duplicateValues" dxfId="0" priority="149"/>
    <cfRule type="duplicateValues" dxfId="1" priority="150"/>
  </conditionalFormatting>
  <conditionalFormatting sqref="I3">
    <cfRule type="duplicateValues" dxfId="0" priority="147"/>
    <cfRule type="duplicateValues" dxfId="1" priority="148"/>
  </conditionalFormatting>
  <conditionalFormatting sqref="K3">
    <cfRule type="duplicateValues" dxfId="0" priority="145"/>
    <cfRule type="duplicateValues" dxfId="1" priority="146"/>
  </conditionalFormatting>
  <conditionalFormatting sqref="L3">
    <cfRule type="duplicateValues" dxfId="0" priority="143"/>
    <cfRule type="duplicateValues" dxfId="1" priority="144"/>
  </conditionalFormatting>
  <conditionalFormatting sqref="N3">
    <cfRule type="duplicateValues" dxfId="0" priority="125"/>
    <cfRule type="duplicateValues" dxfId="1" priority="126"/>
  </conditionalFormatting>
  <conditionalFormatting sqref="O3">
    <cfRule type="duplicateValues" dxfId="0" priority="141"/>
    <cfRule type="duplicateValues" dxfId="1" priority="142"/>
  </conditionalFormatting>
  <conditionalFormatting sqref="P3">
    <cfRule type="duplicateValues" dxfId="0" priority="139"/>
    <cfRule type="duplicateValues" dxfId="1" priority="140"/>
  </conditionalFormatting>
  <conditionalFormatting sqref="Q3">
    <cfRule type="duplicateValues" dxfId="0" priority="137"/>
    <cfRule type="duplicateValues" dxfId="1" priority="138"/>
  </conditionalFormatting>
  <conditionalFormatting sqref="R3">
    <cfRule type="duplicateValues" dxfId="0" priority="135"/>
    <cfRule type="duplicateValues" dxfId="1" priority="136"/>
  </conditionalFormatting>
  <conditionalFormatting sqref="S3">
    <cfRule type="duplicateValues" dxfId="0" priority="133"/>
    <cfRule type="duplicateValues" dxfId="1" priority="134"/>
  </conditionalFormatting>
  <conditionalFormatting sqref="W3">
    <cfRule type="duplicateValues" dxfId="0" priority="131"/>
    <cfRule type="duplicateValues" dxfId="1" priority="132"/>
  </conditionalFormatting>
  <conditionalFormatting sqref="X3">
    <cfRule type="duplicateValues" dxfId="0" priority="129"/>
    <cfRule type="duplicateValues" dxfId="1" priority="130"/>
  </conditionalFormatting>
  <conditionalFormatting sqref="AN3">
    <cfRule type="duplicateValues" dxfId="0" priority="153"/>
    <cfRule type="duplicateValues" dxfId="1" priority="154"/>
  </conditionalFormatting>
  <conditionalFormatting sqref="AO3">
    <cfRule type="duplicateValues" dxfId="0" priority="127"/>
    <cfRule type="duplicateValues" dxfId="1" priority="128"/>
  </conditionalFormatting>
  <conditionalFormatting sqref="G4">
    <cfRule type="duplicateValues" dxfId="1" priority="92"/>
    <cfRule type="duplicateValues" dxfId="0" priority="91"/>
  </conditionalFormatting>
  <conditionalFormatting sqref="H4">
    <cfRule type="duplicateValues" dxfId="1" priority="90"/>
    <cfRule type="duplicateValues" dxfId="0" priority="89"/>
  </conditionalFormatting>
  <conditionalFormatting sqref="I4">
    <cfRule type="duplicateValues" dxfId="1" priority="88"/>
    <cfRule type="duplicateValues" dxfId="0" priority="87"/>
  </conditionalFormatting>
  <conditionalFormatting sqref="K4">
    <cfRule type="duplicateValues" dxfId="1" priority="86"/>
    <cfRule type="duplicateValues" dxfId="0" priority="85"/>
  </conditionalFormatting>
  <conditionalFormatting sqref="L4">
    <cfRule type="duplicateValues" dxfId="1" priority="84"/>
    <cfRule type="duplicateValues" dxfId="0" priority="83"/>
  </conditionalFormatting>
  <conditionalFormatting sqref="N4">
    <cfRule type="duplicateValues" dxfId="1" priority="82"/>
    <cfRule type="duplicateValues" dxfId="0" priority="81"/>
  </conditionalFormatting>
  <conditionalFormatting sqref="O4">
    <cfRule type="duplicateValues" dxfId="1" priority="80"/>
    <cfRule type="duplicateValues" dxfId="0" priority="79"/>
  </conditionalFormatting>
  <conditionalFormatting sqref="P4">
    <cfRule type="duplicateValues" dxfId="1" priority="78"/>
    <cfRule type="duplicateValues" dxfId="0" priority="77"/>
  </conditionalFormatting>
  <conditionalFormatting sqref="Q4">
    <cfRule type="duplicateValues" dxfId="1" priority="76"/>
    <cfRule type="duplicateValues" dxfId="0" priority="75"/>
  </conditionalFormatting>
  <conditionalFormatting sqref="R4">
    <cfRule type="duplicateValues" dxfId="1" priority="74"/>
    <cfRule type="duplicateValues" dxfId="0" priority="73"/>
  </conditionalFormatting>
  <conditionalFormatting sqref="S4">
    <cfRule type="duplicateValues" dxfId="1" priority="72"/>
    <cfRule type="duplicateValues" dxfId="0" priority="71"/>
  </conditionalFormatting>
  <conditionalFormatting sqref="W4">
    <cfRule type="duplicateValues" dxfId="1" priority="70"/>
    <cfRule type="duplicateValues" dxfId="0" priority="69"/>
  </conditionalFormatting>
  <conditionalFormatting sqref="X4">
    <cfRule type="duplicateValues" dxfId="1" priority="68"/>
    <cfRule type="duplicateValues" dxfId="0" priority="67"/>
  </conditionalFormatting>
  <conditionalFormatting sqref="AN4">
    <cfRule type="duplicateValues" dxfId="1" priority="94"/>
    <cfRule type="duplicateValues" dxfId="0" priority="93"/>
  </conditionalFormatting>
  <conditionalFormatting sqref="AO4">
    <cfRule type="duplicateValues" dxfId="1" priority="66"/>
    <cfRule type="duplicateValues" dxfId="0" priority="65"/>
  </conditionalFormatting>
  <conditionalFormatting sqref="G5">
    <cfRule type="duplicateValues" dxfId="1" priority="62"/>
    <cfRule type="duplicateValues" dxfId="0" priority="61"/>
  </conditionalFormatting>
  <conditionalFormatting sqref="H5">
    <cfRule type="duplicateValues" dxfId="1" priority="60"/>
    <cfRule type="duplicateValues" dxfId="0" priority="59"/>
  </conditionalFormatting>
  <conditionalFormatting sqref="I5">
    <cfRule type="duplicateValues" dxfId="1" priority="58"/>
    <cfRule type="duplicateValues" dxfId="0" priority="57"/>
  </conditionalFormatting>
  <conditionalFormatting sqref="K5">
    <cfRule type="duplicateValues" dxfId="1" priority="56"/>
    <cfRule type="duplicateValues" dxfId="0" priority="55"/>
  </conditionalFormatting>
  <conditionalFormatting sqref="N5">
    <cfRule type="duplicateValues" dxfId="1" priority="54"/>
    <cfRule type="duplicateValues" dxfId="0" priority="53"/>
  </conditionalFormatting>
  <conditionalFormatting sqref="O5">
    <cfRule type="duplicateValues" dxfId="1" priority="48"/>
    <cfRule type="duplicateValues" dxfId="0" priority="47"/>
  </conditionalFormatting>
  <conditionalFormatting sqref="P5">
    <cfRule type="duplicateValues" dxfId="1" priority="46"/>
    <cfRule type="duplicateValues" dxfId="0" priority="45"/>
  </conditionalFormatting>
  <conditionalFormatting sqref="Q5">
    <cfRule type="duplicateValues" dxfId="1" priority="44"/>
    <cfRule type="duplicateValues" dxfId="0" priority="43"/>
  </conditionalFormatting>
  <conditionalFormatting sqref="R5">
    <cfRule type="duplicateValues" dxfId="1" priority="40"/>
    <cfRule type="duplicateValues" dxfId="0" priority="39"/>
  </conditionalFormatting>
  <conditionalFormatting sqref="S5">
    <cfRule type="duplicateValues" dxfId="1" priority="42"/>
    <cfRule type="duplicateValues" dxfId="0" priority="41"/>
  </conditionalFormatting>
  <conditionalFormatting sqref="W5">
    <cfRule type="duplicateValues" dxfId="1" priority="52"/>
    <cfRule type="duplicateValues" dxfId="0" priority="51"/>
  </conditionalFormatting>
  <conditionalFormatting sqref="X5">
    <cfRule type="duplicateValues" dxfId="1" priority="50"/>
    <cfRule type="duplicateValues" dxfId="0" priority="49"/>
  </conditionalFormatting>
  <conditionalFormatting sqref="AN5">
    <cfRule type="duplicateValues" dxfId="1" priority="64"/>
    <cfRule type="duplicateValues" dxfId="0" priority="63"/>
  </conditionalFormatting>
  <conditionalFormatting sqref="M10">
    <cfRule type="duplicateValues" dxfId="1" priority="26"/>
    <cfRule type="duplicateValues" dxfId="0" priority="25"/>
  </conditionalFormatting>
  <conditionalFormatting sqref="O10">
    <cfRule type="duplicateValues" dxfId="1" priority="22"/>
    <cfRule type="duplicateValues" dxfId="0" priority="21"/>
  </conditionalFormatting>
  <conditionalFormatting sqref="P10">
    <cfRule type="duplicateValues" dxfId="1" priority="20"/>
    <cfRule type="duplicateValues" dxfId="0" priority="19"/>
  </conditionalFormatting>
  <conditionalFormatting sqref="Q10">
    <cfRule type="duplicateValues" dxfId="1" priority="18"/>
    <cfRule type="duplicateValues" dxfId="0" priority="17"/>
  </conditionalFormatting>
  <conditionalFormatting sqref="R10">
    <cfRule type="duplicateValues" dxfId="1" priority="16"/>
    <cfRule type="duplicateValues" dxfId="0" priority="15"/>
  </conditionalFormatting>
  <conditionalFormatting sqref="S10">
    <cfRule type="duplicateValues" dxfId="1" priority="14"/>
    <cfRule type="duplicateValues" dxfId="0" priority="13"/>
  </conditionalFormatting>
  <conditionalFormatting sqref="AO10">
    <cfRule type="duplicateValues" dxfId="1" priority="36"/>
    <cfRule type="duplicateValues" dxfId="0" priority="35"/>
  </conditionalFormatting>
  <conditionalFormatting sqref="O11">
    <cfRule type="duplicateValues" dxfId="1" priority="8"/>
    <cfRule type="duplicateValues" dxfId="0" priority="7"/>
  </conditionalFormatting>
  <conditionalFormatting sqref="Q11">
    <cfRule type="duplicateValues" dxfId="1" priority="6"/>
    <cfRule type="duplicateValues" dxfId="0" priority="5"/>
  </conditionalFormatting>
  <conditionalFormatting sqref="R11">
    <cfRule type="duplicateValues" dxfId="1" priority="2"/>
    <cfRule type="duplicateValues" dxfId="0" priority="1"/>
  </conditionalFormatting>
  <conditionalFormatting sqref="S11">
    <cfRule type="duplicateValues" dxfId="1" priority="4"/>
    <cfRule type="duplicateValues" dxfId="0" priority="3"/>
  </conditionalFormatting>
  <conditionalFormatting sqref="G10:G11">
    <cfRule type="duplicateValues" dxfId="1" priority="34"/>
    <cfRule type="duplicateValues" dxfId="0" priority="33"/>
  </conditionalFormatting>
  <conditionalFormatting sqref="H10:H11">
    <cfRule type="duplicateValues" dxfId="1" priority="32"/>
    <cfRule type="duplicateValues" dxfId="0" priority="31"/>
  </conditionalFormatting>
  <conditionalFormatting sqref="I10:I11">
    <cfRule type="duplicateValues" dxfId="1" priority="30"/>
    <cfRule type="duplicateValues" dxfId="0" priority="29"/>
  </conditionalFormatting>
  <conditionalFormatting sqref="K10:K11">
    <cfRule type="duplicateValues" dxfId="1" priority="28"/>
    <cfRule type="duplicateValues" dxfId="0" priority="27"/>
  </conditionalFormatting>
  <conditionalFormatting sqref="N10:N11">
    <cfRule type="duplicateValues" dxfId="1" priority="24"/>
    <cfRule type="duplicateValues" dxfId="0" priority="23"/>
  </conditionalFormatting>
  <conditionalFormatting sqref="W10:W11">
    <cfRule type="duplicateValues" dxfId="1" priority="12"/>
    <cfRule type="duplicateValues" dxfId="0" priority="11"/>
  </conditionalFormatting>
  <conditionalFormatting sqref="X10:X11">
    <cfRule type="duplicateValues" dxfId="1" priority="10"/>
    <cfRule type="duplicateValues" dxfId="0" priority="9"/>
  </conditionalFormatting>
  <conditionalFormatting sqref="AN10:AN11">
    <cfRule type="duplicateValues" dxfId="1" priority="38"/>
    <cfRule type="duplicateValues" dxfId="0" priority="37"/>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田野源味</vt:lpstr>
      <vt:lpstr>田野农谷</vt:lpstr>
      <vt:lpstr>Sheet1</vt:lpstr>
      <vt:lpstr>田野农谷 (2)</vt:lpstr>
      <vt:lpstr>离职人员</vt:lpstr>
      <vt:lpstr>众何、临时工</vt:lpstr>
      <vt:lpstr>源味离职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aryielily</dc:creator>
  <cp:lastModifiedBy>朴特敏</cp:lastModifiedBy>
  <dcterms:created xsi:type="dcterms:W3CDTF">2021-10-26T18:08:00Z</dcterms:created>
  <dcterms:modified xsi:type="dcterms:W3CDTF">2026-06-16T16:53:56Z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395BB9027AE8BFF309072C6A50E331CB_43</vt:lpwstr>
  </property>
  <property fmtid="{D5CDD505-2E9C-101B-9397-08002B2CF9AE}" pid="3" name="KSOProductBuildVer">
    <vt:lpwstr>2052-6.6.0.8801</vt:lpwstr>
  </property>
  <property fmtid="{D5CDD505-2E9C-101B-9397-08002B2CF9AE}" pid="4" name="KSOReadingLayout">
    <vt:bool>true</vt:bool>
  </property>
  <property fmtid="{D5CDD505-2E9C-101B-9397-08002B2CF9AE}" pid="5" name="CalculationRule">
    <vt:i4>0</vt:i4>
  </property>
</Properties>
</file>